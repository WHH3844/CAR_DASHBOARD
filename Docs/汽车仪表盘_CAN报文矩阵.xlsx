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ReadMe" sheetId="1" r:id="rId1"/>
    <sheet name="History" sheetId="2" r:id="rId2"/>
    <sheet name="MsgSummary" sheetId="3" r:id="rId3"/>
    <sheet name="Matrix" sheetId="4" r:id="rId4"/>
    <sheet name="Convert" sheetId="5" r:id="rId5"/>
    <sheet name="CheckResul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<sst xmlns="http://schemas.openxmlformats.org/spreadsheetml/2006/main" count="1920" uniqueCount="419">
  <si>
    <t>汽车仪表盘 CAN 报文矩阵说明</t>
  </si>
  <si>
    <t>项目定位</t>
  </si>
  <si>
    <t>基于 GD32F470/GD32F450 + SIT1043QT CAN 收发器的汽车仪表盘学习板，采用 Mini AUTOSAR / AUTOSAR-like 软件架构。</t>
  </si>
  <si>
    <t>设计目标</t>
  </si>
  <si>
    <t>用于 USB-CAN / 仿真节点发送车辆数据，ICM 仪表接收后显示车速、转速、报警灯、胎压、配置、诊断状态等。</t>
  </si>
  <si>
    <t>帧格式</t>
  </si>
  <si>
    <t>本版默认使用 Standard CAN 11-bit ID，DLC=8。虽然硬件 CAN 收发器支持 CAN FD 物理层，但 MCU 外设与教学实现优先按 Classic CAN 设计。</t>
  </si>
  <si>
    <t>字节序</t>
  </si>
  <si>
    <t>默认 Intel LSB，小端格式，方便 GD32/STM32 C 代码打包解析。若后续接真实整车 DBC，需要按对方 DBC 调整。</t>
  </si>
  <si>
    <t>物理值换算</t>
  </si>
  <si>
    <t>Physical = Raw × Resolution + Offset；Raw = (Physical - Offset) / Resolution。Convert 表已给出示例公式。</t>
  </si>
  <si>
    <t>节点定义</t>
  </si>
  <si>
    <t>ICM 为本仪表节点；EMS/BCM/TPMS/IHU/CGW 可由 USB-CAN 上位机或另一块 MCU 模拟。</t>
  </si>
  <si>
    <t>重要说明</t>
  </si>
  <si>
    <t>这是一版教学与调试用 CAN 矩阵，不是整车厂正式 DBC。先用它把仪表 Demo、RTE/Com、诊断雏形跑通，别又把工程做成大型玄学祭坛。</t>
  </si>
  <si>
    <t>版本</t>
  </si>
  <si>
    <t>日期</t>
  </si>
  <si>
    <t>修改人</t>
  </si>
  <si>
    <t>修改内容</t>
  </si>
  <si>
    <t>备注</t>
  </si>
  <si>
    <t>V0.1</t>
  </si>
  <si>
    <t>ChatGPT</t>
  </si>
  <si>
    <t>首次建立汽车仪表盘 CAN 报文矩阵</t>
  </si>
  <si>
    <t>参考 Loxi Micro 表格风格，结合当前 ICM 学习板硬件与 Mini AUTOSAR-like 软件架构</t>
  </si>
  <si>
    <t>Msg ID</t>
  </si>
  <si>
    <t>Frame Format</t>
  </si>
  <si>
    <t>BRS</t>
  </si>
  <si>
    <t>Direction</t>
  </si>
  <si>
    <t>Tx Node</t>
  </si>
  <si>
    <t>Rx Node</t>
  </si>
  <si>
    <t>Msg Name</t>
  </si>
  <si>
    <t>Msg Type</t>
  </si>
  <si>
    <t>DLC</t>
  </si>
  <si>
    <t>Send Type</t>
  </si>
  <si>
    <t>Cycle(ms)</t>
  </si>
  <si>
    <t>Delay(ms)</t>
  </si>
  <si>
    <t>Signal Count</t>
  </si>
  <si>
    <t>Purpose/Description</t>
  </si>
  <si>
    <t>​0x440</t>
  </si>
  <si>
    <t>StandardCAN</t>
  </si>
  <si>
    <t>Tx</t>
  </si>
  <si>
    <t>ICM</t>
  </si>
  <si>
    <t>All</t>
  </si>
  <si>
    <t>NM_Autosar_ICM</t>
  </si>
  <si>
    <t>NM</t>
  </si>
  <si>
    <t>Cyclic/Event</t>
  </si>
  <si>
    <t>ICM 节点网络管理报文，Mini AUTOSAR-like 学习用</t>
  </si>
  <si>
    <t>​0x441</t>
  </si>
  <si>
    <t>Rx</t>
  </si>
  <si>
    <t>SIM/OtherECU</t>
  </si>
  <si>
    <t>NM_Autosar_Sim</t>
  </si>
  <si>
    <t>仿真节点网络管理报文，USB-CAN 或其他节点发送</t>
  </si>
  <si>
    <t>​0x7DF</t>
  </si>
  <si>
    <t>Tester</t>
  </si>
  <si>
    <t>ICM/All</t>
  </si>
  <si>
    <t>Diag_FuncReq</t>
  </si>
  <si>
    <t>DIAG</t>
  </si>
  <si>
    <t>Event</t>
  </si>
  <si>
    <t>UDS 功能寻址请求，教学级 ISO-TP</t>
  </si>
  <si>
    <t>​0x700</t>
  </si>
  <si>
    <t>Diag_ICM_PhysReq</t>
  </si>
  <si>
    <t>UDS 物理寻址请求</t>
  </si>
  <si>
    <t>​0x708</t>
  </si>
  <si>
    <t>Diag_ICM_Resp</t>
  </si>
  <si>
    <t>UDS 物理响应</t>
  </si>
  <si>
    <t>​0x321</t>
  </si>
  <si>
    <t>EMS/Simulator</t>
  </si>
  <si>
    <t>EMS_Powertrain_20ms</t>
  </si>
  <si>
    <t>DIAG/SIGNAL</t>
  </si>
  <si>
    <t>Cyclic</t>
  </si>
  <si>
    <t>动力总成与基础车辆数据，用于仪表主界面显示</t>
  </si>
  <si>
    <t>​0x322</t>
  </si>
  <si>
    <t>BCM/Simulator</t>
  </si>
  <si>
    <t>BCM_BodyStatus_100ms</t>
  </si>
  <si>
    <t>SIGNAL</t>
  </si>
  <si>
    <t>车身状态与报警灯状态</t>
  </si>
  <si>
    <t>​0x323</t>
  </si>
  <si>
    <t>TPMS/Simulator</t>
  </si>
  <si>
    <t>TPMS_Status_1000ms</t>
  </si>
  <si>
    <t>胎压与胎温状态</t>
  </si>
  <si>
    <t>​0x324</t>
  </si>
  <si>
    <t>IHU/CGW/Simulator</t>
  </si>
  <si>
    <t>IHU_CGW_Config_500ms</t>
  </si>
  <si>
    <t>中控/网关发送的仪表配置与主题信息</t>
  </si>
  <si>
    <t>​0x325</t>
  </si>
  <si>
    <t>CGW/Tester</t>
  </si>
  <si>
    <t>ICM_Status_100ms</t>
  </si>
  <si>
    <t>仪表运行状态与用户显示状态</t>
  </si>
  <si>
    <t>​0x326</t>
  </si>
  <si>
    <t>ICM_DiagStatus_1000ms</t>
  </si>
  <si>
    <t>仪表自检与故障管理状态</t>
  </si>
  <si>
    <t>​0x327</t>
  </si>
  <si>
    <t>ICM_UserInput_Event</t>
  </si>
  <si>
    <t>按键事件报文，短按/长按/关机请求</t>
  </si>
  <si>
    <t>​0x328</t>
  </si>
  <si>
    <t>ICM_LogStatus_1000ms</t>
  </si>
  <si>
    <t>日志与 TF 卡状态</t>
  </si>
  <si>
    <t>Msg ID
报文标识符</t>
  </si>
  <si>
    <t>Frame Format
帧格式</t>
  </si>
  <si>
    <t>BRS
波特率切换</t>
  </si>
  <si>
    <t>Direction
方向</t>
  </si>
  <si>
    <t>Tx Node
发送节点</t>
  </si>
  <si>
    <t>Rx Node
接收节点</t>
  </si>
  <si>
    <t>Msg Name
报文名称</t>
  </si>
  <si>
    <t>Msg Type
报文类型</t>
  </si>
  <si>
    <t>Msg Length
报文长度(Byte)</t>
  </si>
  <si>
    <t>Msg Send Type
报文发送类型</t>
  </si>
  <si>
    <t>Msg Cycle Time
周期(ms)</t>
  </si>
  <si>
    <t>Msg Delay Time
延时(ms)</t>
  </si>
  <si>
    <t>Signal Name
信号名称</t>
  </si>
  <si>
    <t>Multiplexor Type
信号复用类型</t>
  </si>
  <si>
    <t>Multiplexed Value
复用值</t>
  </si>
  <si>
    <t>Start Byte
起始字节</t>
  </si>
  <si>
    <t>Start Bit
起始位</t>
  </si>
  <si>
    <t>Bit Length
位长度</t>
  </si>
  <si>
    <t>Byte Order
字节序</t>
  </si>
  <si>
    <t>Data Type
数据类型</t>
  </si>
  <si>
    <t>Resolution
精度</t>
  </si>
  <si>
    <t>Offset
偏移</t>
  </si>
  <si>
    <t>Signal Min
物理最小值</t>
  </si>
  <si>
    <t>Signal Max
物理最大值</t>
  </si>
  <si>
    <t>Initial Value(hex)
初始值</t>
  </si>
  <si>
    <t>Invalid Value(hex)
无效值</t>
  </si>
  <si>
    <t>Unit
单位</t>
  </si>
  <si>
    <t>Signal Value Description
信号值描述</t>
  </si>
  <si>
    <t>Signal Description
信号描述</t>
  </si>
  <si>
    <t>Signal Send Type
信号发送类型</t>
  </si>
  <si>
    <t>Remark
备注</t>
  </si>
  <si>
    <t>ICM_NodeAddress</t>
  </si>
  <si>
    <t>Normal Signal</t>
  </si>
  <si>
    <t/>
  </si>
  <si>
    <t>Intel LSB</t>
  </si>
  <si>
    <t>Unsigned</t>
  </si>
  <si>
    <t>​0x40</t>
  </si>
  <si>
    <t>​0xFF</t>
  </si>
  <si>
    <t>0x40: ICM Node</t>
  </si>
  <si>
    <t>ICM 节点地址</t>
  </si>
  <si>
    <t>OnWrite</t>
  </si>
  <si>
    <t>ICM_RepeatMessageRequestBit</t>
  </si>
  <si>
    <t>​0x0</t>
  </si>
  <si>
    <t>0x0: No Request; 0x1: Request</t>
  </si>
  <si>
    <t>重复报文请求位</t>
  </si>
  <si>
    <t>ICM_ActiveWakeupBit</t>
  </si>
  <si>
    <t>0x0: Passive Wakeup; 0x1: Active Wakeup</t>
  </si>
  <si>
    <t>主动唤醒标志</t>
  </si>
  <si>
    <t>ICM_RepeatSts</t>
  </si>
  <si>
    <t>0x0: Not in RMS; 0x1: Stay in RMS</t>
  </si>
  <si>
    <t>Repeat Message 状态</t>
  </si>
  <si>
    <t>ICM_NMState</t>
  </si>
  <si>
    <t>​0x7</t>
  </si>
  <si>
    <t>0x0: BusSleep; 0x1: RepeatMessage; 0x2: NormalOperation; 0x3: ReadySleep</t>
  </si>
  <si>
    <t>网络管理状态</t>
  </si>
  <si>
    <t>SIM_NodeAddress</t>
  </si>
  <si>
    <t>​0x41</t>
  </si>
  <si>
    <t>0x41: Simulator Node</t>
  </si>
  <si>
    <t>仿真节点地址</t>
  </si>
  <si>
    <t>SIM_RepeatMessageRequestBit</t>
  </si>
  <si>
    <t>SIM_ActiveWakeupBit</t>
  </si>
  <si>
    <t>SIM_RepeatSts</t>
  </si>
  <si>
    <t>SIM_NMReq_PowerOn</t>
  </si>
  <si>
    <t>0x0: Inactive; 0x1: Active</t>
  </si>
  <si>
    <t>仿真节点请求系统保持唤醒</t>
  </si>
  <si>
    <t>SIM_NMReq_Diag</t>
  </si>
  <si>
    <t>诊断请求网络保持</t>
  </si>
  <si>
    <t>Diag_FuncReq_Data</t>
  </si>
  <si>
    <t>​0x00</t>
  </si>
  <si>
    <t>诊断功能寻址请求原始 8 字节数据</t>
  </si>
  <si>
    <t>第一阶段可只透传到 Dcm</t>
  </si>
  <si>
    <t>Diag_ICM_PhyReq_Data</t>
  </si>
  <si>
    <t>诊断物理寻址请求原始 8 字节数据</t>
  </si>
  <si>
    <t>支持 0x10/0x22/0x19/0x14/0x31 子集</t>
  </si>
  <si>
    <t>Diag_ICM_Resp_Data</t>
  </si>
  <si>
    <t>诊断响应原始 8 字节数据</t>
  </si>
  <si>
    <t>由 Dcm/CanTp 生成</t>
  </si>
  <si>
    <t>VehicleSpeed</t>
  </si>
  <si>
    <t>​0x0000</t>
  </si>
  <si>
    <t>​0x1FFF</t>
  </si>
  <si>
    <t>km/h</t>
  </si>
  <si>
    <t>车速</t>
  </si>
  <si>
    <t>raw = speed / 0.0625</t>
  </si>
  <si>
    <t>EngineSpeed</t>
  </si>
  <si>
    <t>​0xFFFF</t>
  </si>
  <si>
    <t>rpm</t>
  </si>
  <si>
    <t>发动机转速</t>
  </si>
  <si>
    <t>raw = rpm / 0.25</t>
  </si>
  <si>
    <t>FuelPercent</t>
  </si>
  <si>
    <t>%</t>
  </si>
  <si>
    <t>油量百分比</t>
  </si>
  <si>
    <t>raw 250 = 100%</t>
  </si>
  <si>
    <t>EngineCoolantTemperature</t>
  </si>
  <si>
    <t>Signed/Offset</t>
  </si>
  <si>
    <t>​0x28</t>
  </si>
  <si>
    <t>℃</t>
  </si>
  <si>
    <t>水温，物理值 = raw - 40</t>
  </si>
  <si>
    <t>OutdoorTemperature</t>
  </si>
  <si>
    <t>车外温度，物理值 = raw - 40</t>
  </si>
  <si>
    <t>BatteryVoltage</t>
  </si>
  <si>
    <t>​0x78</t>
  </si>
  <si>
    <t>V</t>
  </si>
  <si>
    <t>整车/板载供电电压，用于欠压提示</t>
  </si>
  <si>
    <t>IgnitionStatus</t>
  </si>
  <si>
    <t>​0x3</t>
  </si>
  <si>
    <t>0x0: OFF; 0x1: ACC; 0x2: ON; 0x3: START</t>
  </si>
  <si>
    <t>点火状态</t>
  </si>
  <si>
    <t>GearPosition</t>
  </si>
  <si>
    <t>​0xF</t>
  </si>
  <si>
    <t>0x0: P; 0x1: R; 0x2: N; 0x3: D; 0x4: S; 0x5: M</t>
  </si>
  <si>
    <t>挡位</t>
  </si>
  <si>
    <t>Door_FL_Open</t>
  </si>
  <si>
    <t>0x0: Closed; 0x1: Open</t>
  </si>
  <si>
    <t>左前门状态</t>
  </si>
  <si>
    <t>Door_FR_Open</t>
  </si>
  <si>
    <t>右前门状态</t>
  </si>
  <si>
    <t>Door_RL_Open</t>
  </si>
  <si>
    <t>左后门状态</t>
  </si>
  <si>
    <t>Door_RR_Open</t>
  </si>
  <si>
    <t>右后门状态</t>
  </si>
  <si>
    <t>SeatbeltDriver</t>
  </si>
  <si>
    <t>0x0: Buckled; 0x1: Unbuckled</t>
  </si>
  <si>
    <t>主驾安全带</t>
  </si>
  <si>
    <t>LowBeamStatus</t>
  </si>
  <si>
    <t>0x0: Off; 0x1: On</t>
  </si>
  <si>
    <t>近光灯</t>
  </si>
  <si>
    <t>HighBeamStatus</t>
  </si>
  <si>
    <t>远光灯</t>
  </si>
  <si>
    <t>TurnLampStatus</t>
  </si>
  <si>
    <t>0x0: Off; 0x1: Left; 0x2: Right; 0x3: Hazard</t>
  </si>
  <si>
    <t>转向灯/双闪状态</t>
  </si>
  <si>
    <t>ParkingBrake</t>
  </si>
  <si>
    <t>0x0: Released; 0x1: Applied</t>
  </si>
  <si>
    <t>驻车制动</t>
  </si>
  <si>
    <t>MIL_Lamp</t>
  </si>
  <si>
    <t>发动机故障灯</t>
  </si>
  <si>
    <t>ABS_Lamp</t>
  </si>
  <si>
    <t>ABS 故障灯</t>
  </si>
  <si>
    <t>Airbag_Lamp</t>
  </si>
  <si>
    <t>安全气囊故障灯</t>
  </si>
  <si>
    <t>Brake_Lamp</t>
  </si>
  <si>
    <t>制动系统故障灯</t>
  </si>
  <si>
    <t>WasherFluidLow</t>
  </si>
  <si>
    <t>0x0: Normal; 0x1: Low</t>
  </si>
  <si>
    <t>玻璃水液位低</t>
  </si>
  <si>
    <t>AmbientLightLevel</t>
  </si>
  <si>
    <t>​0x32</t>
  </si>
  <si>
    <t>环境光强度百分比，可用于自动背光</t>
  </si>
  <si>
    <t>LF_TirePressure</t>
  </si>
  <si>
    <t>Bar</t>
  </si>
  <si>
    <t>左前胎压</t>
  </si>
  <si>
    <t>RF_TirePressure</t>
  </si>
  <si>
    <t>右前胎压</t>
  </si>
  <si>
    <t>LR_TirePressure</t>
  </si>
  <si>
    <t>左后胎压</t>
  </si>
  <si>
    <t>RR_TirePressure</t>
  </si>
  <si>
    <t>右后胎压</t>
  </si>
  <si>
    <t>LF_TireTemperature</t>
  </si>
  <si>
    <t>左前胎温，物理值 = raw - 40</t>
  </si>
  <si>
    <t>RF_TireTemperature</t>
  </si>
  <si>
    <t>右前胎温，物理值 = raw - 40</t>
  </si>
  <si>
    <t>LR_TireTemperature</t>
  </si>
  <si>
    <t>左后胎温，物理值 = raw - 40</t>
  </si>
  <si>
    <t>RR_TireTemperature</t>
  </si>
  <si>
    <t>右后胎温，物理值 = raw - 40</t>
  </si>
  <si>
    <t>ThemeMode</t>
  </si>
  <si>
    <t>0x0: Auto; 0x1: Classic; 0x2: Sport; 0x3: Night</t>
  </si>
  <si>
    <t>仪表主题模式</t>
  </si>
  <si>
    <t>SetLanguage</t>
  </si>
  <si>
    <t>0x0: zh_CN; 0x1: en_US</t>
  </si>
  <si>
    <t>显示语言</t>
  </si>
  <si>
    <t>UnitMode</t>
  </si>
  <si>
    <t>0x0: Metric; 0x1: Imperial</t>
  </si>
  <si>
    <t>单位制</t>
  </si>
  <si>
    <t>BacklightLevelSet</t>
  </si>
  <si>
    <t>​0x64</t>
  </si>
  <si>
    <t>背光目标亮度</t>
  </si>
  <si>
    <t>WarningVolumeSet</t>
  </si>
  <si>
    <t>​0x50</t>
  </si>
  <si>
    <t>蜂鸣器报警音量目标值</t>
  </si>
  <si>
    <t>DrivingRange</t>
  </si>
  <si>
    <t>km</t>
  </si>
  <si>
    <t>续航里程</t>
  </si>
  <si>
    <t>DateTimeValid</t>
  </si>
  <si>
    <t>0x0: Invalid; 0x1: Valid</t>
  </si>
  <si>
    <t>外部时间同步有效标志</t>
  </si>
  <si>
    <t>TimeHour</t>
  </si>
  <si>
    <t>​0x1F</t>
  </si>
  <si>
    <t>h</t>
  </si>
  <si>
    <t>小时</t>
  </si>
  <si>
    <t>TimeMinute</t>
  </si>
  <si>
    <t>​0x3F</t>
  </si>
  <si>
    <t>min</t>
  </si>
  <si>
    <t>分钟</t>
  </si>
  <si>
    <t>ICM_Mode</t>
  </si>
  <si>
    <t>0x0: Boot; 0x1: SelfTest; 0x2: Run; 0x3: Diag; 0x4: Fault; 0x5: SleepPrepare</t>
  </si>
  <si>
    <t>仪表系统状态机</t>
  </si>
  <si>
    <t>DisplayPage</t>
  </si>
  <si>
    <t>0x0: Boot; 0x1: Main; 0x2: Warning; 0x3: Setting</t>
  </si>
  <si>
    <t>当前显示页面</t>
  </si>
  <si>
    <t>BuzzerStatus</t>
  </si>
  <si>
    <t>0x0: Off; 0x1: ShortBeep; 0x2: LongBeep; 0x3: Continuous</t>
  </si>
  <si>
    <t>蜂鸣器状态</t>
  </si>
  <si>
    <t>BacklightActual</t>
  </si>
  <si>
    <t>实际背光亮度</t>
  </si>
  <si>
    <t>TripDistance</t>
  </si>
  <si>
    <t>小计里程</t>
  </si>
  <si>
    <t>由 APP 计算，可掉电保存到 NvM</t>
  </si>
  <si>
    <t>DriveTime</t>
  </si>
  <si>
    <t>本次行驶时间</t>
  </si>
  <si>
    <t>ShutdownRequest</t>
  </si>
  <si>
    <t>仪表请求关机</t>
  </si>
  <si>
    <t>FaultLampRequest</t>
  </si>
  <si>
    <t>仪表综合故障灯请求</t>
  </si>
  <si>
    <t>DtcCount</t>
  </si>
  <si>
    <t>当前已确认故障数量</t>
  </si>
  <si>
    <t>LastDtcCode</t>
  </si>
  <si>
    <t>最近一次故障码编号</t>
  </si>
  <si>
    <t>PowerOnCount</t>
  </si>
  <si>
    <t>count</t>
  </si>
  <si>
    <t>上电次数，来自 NvM</t>
  </si>
  <si>
    <t>SdramStatus</t>
  </si>
  <si>
    <t>0x0: Failed; 0x1: Passed</t>
  </si>
  <si>
    <t>SDRAM 自检状态</t>
  </si>
  <si>
    <t>LcdStatus</t>
  </si>
  <si>
    <t>LCD 初始化状态</t>
  </si>
  <si>
    <t>RtcStatus</t>
  </si>
  <si>
    <t>RTC 通信状态</t>
  </si>
  <si>
    <t>EepromStatus</t>
  </si>
  <si>
    <t>EEPROM/NvM 状态</t>
  </si>
  <si>
    <t>TfCardStatus</t>
  </si>
  <si>
    <t>TF/FATFS 状态</t>
  </si>
  <si>
    <t>CanBusOffCounter</t>
  </si>
  <si>
    <t>CAN Bus-Off 计数</t>
  </si>
  <si>
    <t>ResetReason</t>
  </si>
  <si>
    <t>0x0: POR; 0x1: NRST; 0x2: IWDG; 0x3: Software; 0x4: BrownOut</t>
  </si>
  <si>
    <t>最近一次复位原因</t>
  </si>
  <si>
    <t>KeyCode</t>
  </si>
  <si>
    <t>0x0: None; 0x1: KEY1; 0x2: KEY2; 0x3: KEY3; 0x4: KEY_POWER</t>
  </si>
  <si>
    <t>按键编号</t>
  </si>
  <si>
    <t>OnChange</t>
  </si>
  <si>
    <t>KeyAction</t>
  </si>
  <si>
    <t>0x0: None; 0x1: ShortPress; 0x2: LongPress; 0x3: DoubleClick</t>
  </si>
  <si>
    <t>按键动作</t>
  </si>
  <si>
    <t>EventCounter</t>
  </si>
  <si>
    <t>事件计数器，防止接收端漏事件</t>
  </si>
  <si>
    <t>PowerKeyLongPress</t>
  </si>
  <si>
    <t>0x0: No; 0x1: Yes</t>
  </si>
  <si>
    <t>电源键长按标志</t>
  </si>
  <si>
    <t>ShutdownConfirm</t>
  </si>
  <si>
    <t>用户确认关机</t>
  </si>
  <si>
    <t>KeyEventReserved</t>
  </si>
  <si>
    <t>​0x00000000</t>
  </si>
  <si>
    <t>​0xFFFFFFFF</t>
  </si>
  <si>
    <t>预留</t>
  </si>
  <si>
    <t>SdCardStatus</t>
  </si>
  <si>
    <t>0x0: NotMounted; 0x1: Mounted; 0x2: Error; 0x3: Reserved</t>
  </si>
  <si>
    <t>TF 卡挂载状态</t>
  </si>
  <si>
    <t>LogEnable</t>
  </si>
  <si>
    <t>0x0: Disable; 0x1: Enable</t>
  </si>
  <si>
    <t>日志记录使能</t>
  </si>
  <si>
    <t>CurrentLogFileIndex</t>
  </si>
  <si>
    <t>当前日志文件编号</t>
  </si>
  <si>
    <t>LogWriteErrorCounter</t>
  </si>
  <si>
    <t>日志写入错误计数</t>
  </si>
  <si>
    <t>RuntimeSeconds</t>
  </si>
  <si>
    <t>s</t>
  </si>
  <si>
    <t>系统运行秒数</t>
  </si>
  <si>
    <t>CAN 信号物理值换算示例</t>
  </si>
  <si>
    <t>Signal Name</t>
  </si>
  <si>
    <t>Raw(hex/dec)</t>
  </si>
  <si>
    <t>Raw(dec)</t>
  </si>
  <si>
    <t>Resolution</t>
  </si>
  <si>
    <t>Offset</t>
  </si>
  <si>
    <t>Physical Formula</t>
  </si>
  <si>
    <t>Physical Value</t>
  </si>
  <si>
    <t>Unit</t>
  </si>
  <si>
    <t>Remark</t>
  </si>
  <si>
    <t>​0x0640</t>
  </si>
  <si>
    <t>1600 × 0.0625 = 100 km/h</t>
  </si>
  <si>
    <t>​0x2EE0</t>
  </si>
  <si>
    <t>12000 × 0.25 = 3000 rpm</t>
  </si>
  <si>
    <t>​0xC8</t>
  </si>
  <si>
    <t>200 × 0.4 = 80%</t>
  </si>
  <si>
    <t>​0x5A</t>
  </si>
  <si>
    <t>90 - 40 = 50℃</t>
  </si>
  <si>
    <t>100 × 0.0275 = 2.75 bar</t>
  </si>
  <si>
    <t>​0x04D2</t>
  </si>
  <si>
    <t>123.4 km</t>
  </si>
  <si>
    <t>检查项</t>
  </si>
  <si>
    <t>结果</t>
  </si>
  <si>
    <t>说明</t>
  </si>
  <si>
    <t>责任模块</t>
  </si>
  <si>
    <t>优先级</t>
  </si>
  <si>
    <t>所有报文 Msg ID 是否唯一</t>
  </si>
  <si>
    <t>PASS</t>
  </si>
  <si>
    <t>当前 13 个报文 ID 未重复</t>
  </si>
  <si>
    <t>Com/CanIf</t>
  </si>
  <si>
    <t>P0</t>
  </si>
  <si>
    <t>所有报文 DLC 是否为 8</t>
  </si>
  <si>
    <t>当前按 Classic CAN 8 字节设计</t>
  </si>
  <si>
    <t>CanIf</t>
  </si>
  <si>
    <t>信号是否越过 8 字节边界</t>
  </si>
  <si>
    <t>待代码生成时复核</t>
  </si>
  <si>
    <t>64bit 诊断数据占满 8 字节；其他信号按字节分配</t>
  </si>
  <si>
    <t>Com</t>
  </si>
  <si>
    <t>RX 报文是否可由 USB-CAN 模拟</t>
  </si>
  <si>
    <t>0x321~0x324、0x441、0x700、0x7DF 可外部发送</t>
  </si>
  <si>
    <t>测试</t>
  </si>
  <si>
    <t>TX 报文是否有软件触发源</t>
  </si>
  <si>
    <t>0x325~0x328、0x440、0x708 由 ICM APP/BSW/Diag 生成</t>
  </si>
  <si>
    <t>APP/RTE/BSW</t>
  </si>
  <si>
    <t>P1</t>
  </si>
  <si>
    <t>诊断是否完整符合 UDS</t>
  </si>
  <si>
    <t>NO</t>
  </si>
  <si>
    <t>本版只做教学级 UDS 子集，不声明 AUTOSAR/UDS 正式合规</t>
  </si>
  <si>
    <t>Dcm/CanTp</t>
  </si>
  <si>
    <t>P2</t>
  </si>
  <si>
    <t>是否需要 DBC 导出</t>
  </si>
  <si>
    <t>TODO</t>
  </si>
  <si>
    <t>后续可根据 Matrix 生成 .dbc，用于 CANoe/CANalyzer/USB-CAN 上位机</t>
  </si>
  <si>
    <t>工具链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</si>
</sst>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yyyy\-mm\-dd"/>
  </numFmts>
  <fonts count="26">
    <font>
      <sz val="11"/>
      <name val="Carlito"/>
      <charset val="134"/>
    </font>
    <font>
      <b/>
      <sz val="10"/>
      <color rgb="FF000000"/>
      <name val="Carlito"/>
      <charset val="134"/>
    </font>
    <font>
      <b/>
      <sz val="16"/>
      <color rgb="FFFFFFFF"/>
      <name val="Carlito"/>
      <charset val="134"/>
    </font>
    <font>
      <b/>
      <sz val="11"/>
      <color rgb="FF000000"/>
      <name val="Carlito"/>
      <charset val="134"/>
    </font>
    <font>
      <b/>
      <sz val="11"/>
      <name val="Carlito"/>
      <charset val="134"/>
    </font>
    <font>
      <sz val="11"/>
      <color rgb="FF0F172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6B6D4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BAE6FD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/>
    </xf>
    <xf numFmtId="176" fontId="0" fillId="0" borderId="0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 applyAlignment="1">
      <alignment vertical="center" wrapText="1"/>
    </xf>
    <xf numFmtId="49" fontId="3" fillId="4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49" fontId="3" fillId="4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49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49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49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49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177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horizontal="center" vertical="center" wrapText="1"/>
    </xf>
    <xf numFmtId="0" fontId="5" fillId="6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horizontal="center" vertical="center" wrapText="1"/>
    </xf>
    <xf numFmtId="0" fontId="5" fillId="6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horizontal="center" vertical="center" wrapText="1"/>
    </xf>
    <xf numFmtId="0" fontId="5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47"/>
      <tableStyleElement type="totalRow" dxfId="46"/>
      <tableStyleElement type="firstRowStripe" dxfId="45"/>
      <tableStyleElement type="firstColumnStripe" dxfId="44"/>
      <tableStyleElement type="firstSubtotalRow" dxfId="43"/>
      <tableStyleElement type="secondSubtotalRow" dxfId="42"/>
      <tableStyleElement type="firstRowSubheading" dxfId="41"/>
      <tableStyleElement type="secondRowSubheading" dxfId="40"/>
      <tableStyleElement type="pageFieldLabels" dxfId="39"/>
      <tableStyleElement type="pageFieldValues" dxfId="3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HistoryTable" displayName="HistoryTable" ref="A1:E2">
  <tableColumns count="5">
    <tableColumn id="1" name="版本"/>
    <tableColumn id="2" name="日期"/>
    <tableColumn id="3" name="修改人"/>
    <tableColumn id="4" name="修改内容"/>
    <tableColumn id="5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sgSummaryTable" displayName="MsgSummaryTable" ref="A1:N14">
  <tableColumns count="14">
    <tableColumn id="1" name="Msg ID"/>
    <tableColumn id="2" name="Frame Format"/>
    <tableColumn id="3" name="BRS"/>
    <tableColumn id="4" name="Direction"/>
    <tableColumn id="5" name="Tx Node"/>
    <tableColumn id="6" name="Rx Node"/>
    <tableColumn id="7" name="Msg Name"/>
    <tableColumn id="8" name="Msg Type"/>
    <tableColumn id="9" name="DLC"/>
    <tableColumn id="10" name="Send Type"/>
    <tableColumn id="11" name="Cycle(ms)"/>
    <tableColumn id="12" name="Delay(ms)"/>
    <tableColumn id="13" name="Signal Count"/>
    <tableColumn id="14" name="Purpose/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NMatrixTable" displayName="CANMatrixTable" ref="A1:AE84">
  <tableColumns count="31">
    <tableColumn id="1" name="Msg ID&#10;报文标识符" dataDxfId="0"/>
    <tableColumn id="2" name="Frame Format&#10;帧格式" dataDxfId="1"/>
    <tableColumn id="3" name="BRS&#10;波特率切换" dataDxfId="2"/>
    <tableColumn id="4" name="Direction&#10;方向" dataDxfId="3"/>
    <tableColumn id="5" name="Tx Node&#10;发送节点" dataDxfId="4"/>
    <tableColumn id="6" name="Rx Node&#10;接收节点" dataDxfId="5"/>
    <tableColumn id="7" name="Msg Name&#10;报文名称" dataDxfId="6"/>
    <tableColumn id="8" name="Msg Type&#10;报文类型" dataDxfId="7"/>
    <tableColumn id="9" name="Msg Length&#10;报文长度(Byte)" dataDxfId="8"/>
    <tableColumn id="10" name="Msg Send Type&#10;报文发送类型" dataDxfId="9"/>
    <tableColumn id="11" name="Msg Cycle Time&#10;周期(ms)" dataDxfId="10"/>
    <tableColumn id="12" name="Msg Delay Time&#10;延时(ms)" dataDxfId="11"/>
    <tableColumn id="13" name="Signal Name&#10;信号名称" dataDxfId="12"/>
    <tableColumn id="14" name="Multiplexor Type&#10;信号复用类型" dataDxfId="13"/>
    <tableColumn id="15" name="Multiplexed Value&#10;复用值" dataDxfId="14"/>
    <tableColumn id="16" name="Start Byte&#10;起始字节" dataDxfId="15"/>
    <tableColumn id="17" name="Start Bit&#10;起始位" dataDxfId="16"/>
    <tableColumn id="18" name="Bit Length&#10;位长度" dataDxfId="17"/>
    <tableColumn id="19" name="Byte Order&#10;字节序" dataDxfId="18"/>
    <tableColumn id="20" name="Data Type&#10;数据类型" dataDxfId="19"/>
    <tableColumn id="21" name="Resolution&#10;精度" dataDxfId="20"/>
    <tableColumn id="22" name="Offset&#10;偏移" dataDxfId="21"/>
    <tableColumn id="23" name="Signal Min&#10;物理最小值" dataDxfId="22"/>
    <tableColumn id="24" name="Signal Max&#10;物理最大值" dataDxfId="23"/>
    <tableColumn id="25" name="Initial Value(hex)&#10;初始值" dataDxfId="24"/>
    <tableColumn id="26" name="Invalid Value(hex)&#10;无效值" dataDxfId="25"/>
    <tableColumn id="27" name="Unit&#10;单位" dataDxfId="26"/>
    <tableColumn id="28" name="Signal Value Description&#10;信号值描述" dataDxfId="27"/>
    <tableColumn id="29" name="Signal Description&#10;信号描述" dataDxfId="28"/>
    <tableColumn id="30" name="Signal Send Type&#10;信号发送类型" dataDxfId="29"/>
    <tableColumn id="31" name="Remark&#10;备注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vertTable" displayName="ConvertTable" ref="A2:I8">
  <tableColumns count="9">
    <tableColumn id="1" name="Signal Name"/>
    <tableColumn id="2" name="Raw(hex/dec)"/>
    <tableColumn id="3" name="Raw(dec)"/>
    <tableColumn id="4" name="Resolution"/>
    <tableColumn id="5" name="Offset"/>
    <tableColumn id="6" name="Physical Formula"/>
    <tableColumn id="7" name="Physical Value"/>
    <tableColumn id="8" name="Unit"/>
    <tableColumn id="9" name="Rema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eckResultTable" displayName="CheckResultTable" ref="A1:E8">
  <tableColumns count="5">
    <tableColumn id="1" name="检查项"/>
    <tableColumn id="2" name="结果"/>
    <tableColumn id="3" name="说明"/>
    <tableColumn id="4" name="责任模块"/>
    <tableColumn id="5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:H1"/>
    </sheetView>
  </sheetViews>
  <sheetFormatPr defaultColWidth="9" defaultRowHeight="14.25" outlineLevelCol="7"/>
  <cols>
    <col min="1" max="1" width="18" customWidth="1"/>
    <col min="2" max="2" width="95" customWidth="1"/>
  </cols>
  <sheetData>
    <row r="1" ht="30" customHeight="1" spans="1:8">
      <c r="A1" s="10" t="s">
        <v>0</v>
      </c>
      <c r="B1" s="10"/>
      <c r="C1" s="10"/>
      <c r="D1" s="10"/>
      <c r="E1" s="10"/>
      <c r="F1" s="10"/>
      <c r="G1" s="10"/>
      <c r="H1" s="10"/>
    </row>
    <row r="3" ht="27.75" spans="1:8">
      <c r="A3" s="30" t="s">
        <v>1</v>
      </c>
      <c r="B3" s="31" t="s">
        <v>2</v>
      </c>
    </row>
    <row r="4" spans="1:8">
      <c r="A4" s="32" t="s">
        <v>3</v>
      </c>
      <c r="B4" s="33" t="s">
        <v>4</v>
      </c>
    </row>
    <row r="5" ht="28.5" spans="1:8">
      <c r="A5" s="32" t="s">
        <v>5</v>
      </c>
      <c r="B5" s="33" t="s">
        <v>6</v>
      </c>
    </row>
    <row r="6" ht="27.75" spans="1:8">
      <c r="A6" s="32" t="s">
        <v>7</v>
      </c>
      <c r="B6" s="33" t="s">
        <v>8</v>
      </c>
    </row>
    <row r="7" spans="1:8">
      <c r="A7" s="32" t="s">
        <v>9</v>
      </c>
      <c r="B7" s="33" t="s">
        <v>10</v>
      </c>
    </row>
    <row r="8" spans="1:8">
      <c r="A8" s="32" t="s">
        <v>11</v>
      </c>
      <c r="B8" s="33" t="s">
        <v>12</v>
      </c>
    </row>
    <row r="9" ht="27.75" spans="1:8">
      <c r="A9" s="34" t="s">
        <v>13</v>
      </c>
      <c r="B9" s="35" t="s">
        <v>14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.25" outlineLevelRow="1" outlineLevelCol="4"/>
  <cols>
    <col min="1" max="1" width="3.5" customWidth="1"/>
    <col min="2" max="2" width="9.15" customWidth="1"/>
    <col min="3" max="3" width="6.85833333333333" customWidth="1"/>
    <col min="4" max="4" width="29.8833333333333" customWidth="1"/>
    <col min="5" max="5" width="70.6583333333333" customWidth="1"/>
  </cols>
  <sheetData>
    <row r="1" ht="24" spans="1:5">
      <c r="A1" s="25" t="s">
        <v>15</v>
      </c>
      <c r="B1" s="25" t="s">
        <v>16</v>
      </c>
      <c r="C1" s="25" t="s">
        <v>17</v>
      </c>
      <c r="D1" s="25" t="s">
        <v>18</v>
      </c>
      <c r="E1" s="25" t="s">
        <v>19</v>
      </c>
    </row>
    <row r="2" ht="28.5" spans="1:5">
      <c r="A2" s="26" t="s">
        <v>20</v>
      </c>
      <c r="B2" s="27">
        <v>46172</v>
      </c>
      <c r="C2" s="28" t="s">
        <v>21</v>
      </c>
      <c r="D2" s="28" t="s">
        <v>22</v>
      </c>
      <c r="E2" s="29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4.25"/>
  <cols>
    <col min="1" max="1" width="10" customWidth="1"/>
    <col min="2" max="2" width="15" customWidth="1"/>
    <col min="3" max="3" width="8" customWidth="1"/>
    <col min="4" max="4" width="10" customWidth="1"/>
    <col min="5" max="5" width="16" customWidth="1"/>
    <col min="6" max="6" width="18" customWidth="1"/>
    <col min="7" max="7" width="26" customWidth="1"/>
    <col min="8" max="8" width="14" customWidth="1"/>
    <col min="9" max="9" width="8" customWidth="1"/>
    <col min="10" max="10" width="16" customWidth="1"/>
    <col min="11" max="13" width="12" customWidth="1"/>
    <col min="14" max="14" width="60" customWidth="1"/>
  </cols>
  <sheetData>
    <row r="1" spans="1:14">
      <c r="A1" s="1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3" t="s">
        <v>37</v>
      </c>
    </row>
    <row r="2" spans="1:14">
      <c r="A2" s="4" t="s">
        <v>38</v>
      </c>
      <c r="B2" s="5" t="s">
        <v>39</v>
      </c>
      <c r="C2" s="5">
        <v>0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>
        <v>8</v>
      </c>
      <c r="J2" s="5" t="s">
        <v>45</v>
      </c>
      <c r="K2" s="5">
        <v>1000</v>
      </c>
      <c r="L2" s="5">
        <v>0</v>
      </c>
      <c r="M2" s="5">
        <v>5</v>
      </c>
      <c r="N2" s="6" t="s">
        <v>46</v>
      </c>
    </row>
    <row r="3" spans="1:14">
      <c r="A3" s="4" t="s">
        <v>47</v>
      </c>
      <c r="B3" s="5" t="s">
        <v>39</v>
      </c>
      <c r="C3" s="5">
        <v>0</v>
      </c>
      <c r="D3" s="5" t="s">
        <v>48</v>
      </c>
      <c r="E3" s="5" t="s">
        <v>49</v>
      </c>
      <c r="F3" s="5" t="s">
        <v>41</v>
      </c>
      <c r="G3" s="5" t="s">
        <v>50</v>
      </c>
      <c r="H3" s="5" t="s">
        <v>44</v>
      </c>
      <c r="I3" s="5">
        <v>8</v>
      </c>
      <c r="J3" s="5" t="s">
        <v>45</v>
      </c>
      <c r="K3" s="5">
        <v>1000</v>
      </c>
      <c r="L3" s="5">
        <v>0</v>
      </c>
      <c r="M3" s="5">
        <v>6</v>
      </c>
      <c r="N3" s="6" t="s">
        <v>51</v>
      </c>
    </row>
    <row r="4" spans="1:14">
      <c r="A4" s="4" t="s">
        <v>52</v>
      </c>
      <c r="B4" s="5" t="s">
        <v>39</v>
      </c>
      <c r="C4" s="5">
        <v>0</v>
      </c>
      <c r="D4" s="5" t="s">
        <v>48</v>
      </c>
      <c r="E4" s="5" t="s">
        <v>53</v>
      </c>
      <c r="F4" s="5" t="s">
        <v>54</v>
      </c>
      <c r="G4" s="5" t="s">
        <v>55</v>
      </c>
      <c r="H4" s="5" t="s">
        <v>56</v>
      </c>
      <c r="I4" s="5">
        <v>8</v>
      </c>
      <c r="J4" s="5" t="s">
        <v>57</v>
      </c>
      <c r="K4" s="5">
        <v>0</v>
      </c>
      <c r="L4" s="5">
        <v>0</v>
      </c>
      <c r="M4" s="5">
        <v>1</v>
      </c>
      <c r="N4" s="6" t="s">
        <v>58</v>
      </c>
    </row>
    <row r="5" spans="1:14">
      <c r="A5" s="4" t="s">
        <v>59</v>
      </c>
      <c r="B5" s="5" t="s">
        <v>39</v>
      </c>
      <c r="C5" s="5">
        <v>0</v>
      </c>
      <c r="D5" s="5" t="s">
        <v>48</v>
      </c>
      <c r="E5" s="5" t="s">
        <v>53</v>
      </c>
      <c r="F5" s="5" t="s">
        <v>41</v>
      </c>
      <c r="G5" s="5" t="s">
        <v>60</v>
      </c>
      <c r="H5" s="5" t="s">
        <v>56</v>
      </c>
      <c r="I5" s="5">
        <v>8</v>
      </c>
      <c r="J5" s="5" t="s">
        <v>57</v>
      </c>
      <c r="K5" s="5">
        <v>0</v>
      </c>
      <c r="L5" s="5">
        <v>0</v>
      </c>
      <c r="M5" s="5">
        <v>1</v>
      </c>
      <c r="N5" s="6" t="s">
        <v>61</v>
      </c>
    </row>
    <row r="6" spans="1:14">
      <c r="A6" s="4" t="s">
        <v>62</v>
      </c>
      <c r="B6" s="5" t="s">
        <v>39</v>
      </c>
      <c r="C6" s="5">
        <v>0</v>
      </c>
      <c r="D6" s="5" t="s">
        <v>40</v>
      </c>
      <c r="E6" s="5" t="s">
        <v>41</v>
      </c>
      <c r="F6" s="5" t="s">
        <v>53</v>
      </c>
      <c r="G6" s="5" t="s">
        <v>63</v>
      </c>
      <c r="H6" s="5" t="s">
        <v>56</v>
      </c>
      <c r="I6" s="5">
        <v>8</v>
      </c>
      <c r="J6" s="5" t="s">
        <v>57</v>
      </c>
      <c r="K6" s="5">
        <v>0</v>
      </c>
      <c r="L6" s="5">
        <v>0</v>
      </c>
      <c r="M6" s="5">
        <v>1</v>
      </c>
      <c r="N6" s="6" t="s">
        <v>64</v>
      </c>
    </row>
    <row r="7" spans="1:14">
      <c r="A7" s="4" t="s">
        <v>65</v>
      </c>
      <c r="B7" s="5" t="s">
        <v>39</v>
      </c>
      <c r="C7" s="5">
        <v>0</v>
      </c>
      <c r="D7" s="5" t="s">
        <v>48</v>
      </c>
      <c r="E7" s="5" t="s">
        <v>66</v>
      </c>
      <c r="F7" s="5" t="s">
        <v>41</v>
      </c>
      <c r="G7" s="5" t="s">
        <v>67</v>
      </c>
      <c r="H7" s="5" t="s">
        <v>68</v>
      </c>
      <c r="I7" s="5">
        <v>8</v>
      </c>
      <c r="J7" s="5" t="s">
        <v>69</v>
      </c>
      <c r="K7" s="5">
        <v>20</v>
      </c>
      <c r="L7" s="5">
        <v>0</v>
      </c>
      <c r="M7" s="5">
        <v>6</v>
      </c>
      <c r="N7" s="6" t="s">
        <v>70</v>
      </c>
    </row>
    <row r="8" spans="1:14">
      <c r="A8" s="4" t="s">
        <v>71</v>
      </c>
      <c r="B8" s="5" t="s">
        <v>39</v>
      </c>
      <c r="C8" s="5">
        <v>0</v>
      </c>
      <c r="D8" s="5" t="s">
        <v>48</v>
      </c>
      <c r="E8" s="5" t="s">
        <v>72</v>
      </c>
      <c r="F8" s="5" t="s">
        <v>41</v>
      </c>
      <c r="G8" s="5" t="s">
        <v>73</v>
      </c>
      <c r="H8" s="5" t="s">
        <v>74</v>
      </c>
      <c r="I8" s="5">
        <v>8</v>
      </c>
      <c r="J8" s="5" t="s">
        <v>45</v>
      </c>
      <c r="K8" s="5">
        <v>100</v>
      </c>
      <c r="L8" s="5">
        <v>0</v>
      </c>
      <c r="M8" s="5">
        <v>17</v>
      </c>
      <c r="N8" s="6" t="s">
        <v>75</v>
      </c>
    </row>
    <row r="9" spans="1:14">
      <c r="A9" s="4" t="s">
        <v>76</v>
      </c>
      <c r="B9" s="5" t="s">
        <v>39</v>
      </c>
      <c r="C9" s="5">
        <v>0</v>
      </c>
      <c r="D9" s="5" t="s">
        <v>48</v>
      </c>
      <c r="E9" s="5" t="s">
        <v>77</v>
      </c>
      <c r="F9" s="5" t="s">
        <v>41</v>
      </c>
      <c r="G9" s="5" t="s">
        <v>78</v>
      </c>
      <c r="H9" s="5" t="s">
        <v>74</v>
      </c>
      <c r="I9" s="5">
        <v>8</v>
      </c>
      <c r="J9" s="5" t="s">
        <v>69</v>
      </c>
      <c r="K9" s="5">
        <v>1000</v>
      </c>
      <c r="L9" s="5">
        <v>0</v>
      </c>
      <c r="M9" s="5">
        <v>8</v>
      </c>
      <c r="N9" s="6" t="s">
        <v>79</v>
      </c>
    </row>
    <row r="10" ht="28.5" spans="1:14">
      <c r="A10" s="4" t="s">
        <v>80</v>
      </c>
      <c r="B10" s="5" t="s">
        <v>39</v>
      </c>
      <c r="C10" s="5">
        <v>0</v>
      </c>
      <c r="D10" s="5" t="s">
        <v>48</v>
      </c>
      <c r="E10" s="5" t="s">
        <v>81</v>
      </c>
      <c r="F10" s="5" t="s">
        <v>41</v>
      </c>
      <c r="G10" s="5" t="s">
        <v>82</v>
      </c>
      <c r="H10" s="5" t="s">
        <v>74</v>
      </c>
      <c r="I10" s="5">
        <v>8</v>
      </c>
      <c r="J10" s="5" t="s">
        <v>45</v>
      </c>
      <c r="K10" s="5">
        <v>500</v>
      </c>
      <c r="L10" s="5">
        <v>0</v>
      </c>
      <c r="M10" s="5">
        <v>9</v>
      </c>
      <c r="N10" s="6" t="s">
        <v>83</v>
      </c>
    </row>
    <row r="11" spans="1:14">
      <c r="A11" s="4" t="s">
        <v>84</v>
      </c>
      <c r="B11" s="5" t="s">
        <v>39</v>
      </c>
      <c r="C11" s="5">
        <v>0</v>
      </c>
      <c r="D11" s="5" t="s">
        <v>40</v>
      </c>
      <c r="E11" s="5" t="s">
        <v>41</v>
      </c>
      <c r="F11" s="5" t="s">
        <v>85</v>
      </c>
      <c r="G11" s="5" t="s">
        <v>86</v>
      </c>
      <c r="H11" s="5" t="s">
        <v>74</v>
      </c>
      <c r="I11" s="5">
        <v>8</v>
      </c>
      <c r="J11" s="5" t="s">
        <v>45</v>
      </c>
      <c r="K11" s="5">
        <v>100</v>
      </c>
      <c r="L11" s="5">
        <v>0</v>
      </c>
      <c r="M11" s="5">
        <v>8</v>
      </c>
      <c r="N11" s="6" t="s">
        <v>87</v>
      </c>
    </row>
    <row r="12" spans="1:14">
      <c r="A12" s="4" t="s">
        <v>88</v>
      </c>
      <c r="B12" s="5" t="s">
        <v>39</v>
      </c>
      <c r="C12" s="5">
        <v>0</v>
      </c>
      <c r="D12" s="5" t="s">
        <v>40</v>
      </c>
      <c r="E12" s="5" t="s">
        <v>41</v>
      </c>
      <c r="F12" s="5" t="s">
        <v>85</v>
      </c>
      <c r="G12" s="5" t="s">
        <v>89</v>
      </c>
      <c r="H12" s="5" t="s">
        <v>68</v>
      </c>
      <c r="I12" s="5">
        <v>8</v>
      </c>
      <c r="J12" s="5" t="s">
        <v>45</v>
      </c>
      <c r="K12" s="5">
        <v>1000</v>
      </c>
      <c r="L12" s="5">
        <v>0</v>
      </c>
      <c r="M12" s="5">
        <v>10</v>
      </c>
      <c r="N12" s="6" t="s">
        <v>90</v>
      </c>
    </row>
    <row r="13" spans="1:14">
      <c r="A13" s="4" t="s">
        <v>91</v>
      </c>
      <c r="B13" s="5" t="s">
        <v>39</v>
      </c>
      <c r="C13" s="5">
        <v>0</v>
      </c>
      <c r="D13" s="5" t="s">
        <v>40</v>
      </c>
      <c r="E13" s="5" t="s">
        <v>41</v>
      </c>
      <c r="F13" s="5" t="s">
        <v>85</v>
      </c>
      <c r="G13" s="5" t="s">
        <v>92</v>
      </c>
      <c r="H13" s="5" t="s">
        <v>74</v>
      </c>
      <c r="I13" s="5">
        <v>8</v>
      </c>
      <c r="J13" s="5" t="s">
        <v>57</v>
      </c>
      <c r="K13" s="5">
        <v>0</v>
      </c>
      <c r="L13" s="5">
        <v>0</v>
      </c>
      <c r="M13" s="5">
        <v>6</v>
      </c>
      <c r="N13" s="6" t="s">
        <v>93</v>
      </c>
    </row>
    <row r="14" spans="1:14">
      <c r="A14" s="7" t="s">
        <v>94</v>
      </c>
      <c r="B14" s="8" t="s">
        <v>39</v>
      </c>
      <c r="C14" s="8">
        <v>0</v>
      </c>
      <c r="D14" s="8" t="s">
        <v>40</v>
      </c>
      <c r="E14" s="8" t="s">
        <v>41</v>
      </c>
      <c r="F14" s="8" t="s">
        <v>85</v>
      </c>
      <c r="G14" s="8" t="s">
        <v>95</v>
      </c>
      <c r="H14" s="8" t="s">
        <v>74</v>
      </c>
      <c r="I14" s="8">
        <v>8</v>
      </c>
      <c r="J14" s="8" t="s">
        <v>45</v>
      </c>
      <c r="K14" s="8">
        <v>1000</v>
      </c>
      <c r="L14" s="8">
        <v>0</v>
      </c>
      <c r="M14" s="8">
        <v>5</v>
      </c>
      <c r="N14" s="9" t="s">
        <v>96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4"/>
  <sheetViews>
    <sheetView tabSelected="1" workbookViewId="0">
      <selection activeCell="G5" sqref="G5"/>
    </sheetView>
  </sheetViews>
  <sheetFormatPr defaultColWidth="9" defaultRowHeight="14.25"/>
  <cols>
    <col min="1" max="1" width="12" customWidth="1"/>
    <col min="2" max="2" width="15" customWidth="1"/>
    <col min="3" max="3" width="7" customWidth="1"/>
    <col min="4" max="4" width="10" customWidth="1"/>
    <col min="5" max="5" width="16" customWidth="1"/>
    <col min="6" max="6" width="18" customWidth="1"/>
    <col min="7" max="7" width="28" customWidth="1"/>
    <col min="8" max="8" width="14" customWidth="1"/>
    <col min="9" max="9" width="12" customWidth="1"/>
    <col min="10" max="10" width="16" customWidth="1"/>
    <col min="11" max="12" width="12" customWidth="1"/>
    <col min="13" max="13" width="30" customWidth="1"/>
    <col min="14" max="14" width="18" customWidth="1"/>
    <col min="15" max="15" width="12" customWidth="1"/>
    <col min="16" max="18" width="10" customWidth="1"/>
    <col min="19" max="20" width="14" customWidth="1"/>
    <col min="21" max="21" width="12" customWidth="1"/>
    <col min="22" max="22" width="10" customWidth="1"/>
    <col min="23" max="24" width="12" customWidth="1"/>
    <col min="25" max="26" width="14" customWidth="1"/>
    <col min="27" max="27" width="10" customWidth="1"/>
    <col min="28" max="29" width="48" customWidth="1"/>
    <col min="30" max="30" width="16" customWidth="1"/>
    <col min="31" max="31" width="35" customWidth="1"/>
  </cols>
  <sheetData>
    <row r="1" ht="52" customHeight="1" spans="1:31">
      <c r="A1" s="1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122</v>
      </c>
      <c r="AA1" s="2" t="s">
        <v>123</v>
      </c>
      <c r="AB1" s="2" t="s">
        <v>124</v>
      </c>
      <c r="AC1" s="2" t="s">
        <v>125</v>
      </c>
      <c r="AD1" s="2" t="s">
        <v>126</v>
      </c>
      <c r="AE1" s="3" t="s">
        <v>127</v>
      </c>
    </row>
    <row r="2" ht="38" customHeight="1" spans="1:31">
      <c r="A2" s="13" t="s">
        <v>38</v>
      </c>
      <c r="B2" s="14" t="s">
        <v>39</v>
      </c>
      <c r="C2" s="14">
        <v>0</v>
      </c>
      <c r="D2" s="14" t="s">
        <v>40</v>
      </c>
      <c r="E2" s="14" t="s">
        <v>41</v>
      </c>
      <c r="F2" s="14" t="s">
        <v>42</v>
      </c>
      <c r="G2" s="14" t="s">
        <v>43</v>
      </c>
      <c r="H2" s="14" t="s">
        <v>44</v>
      </c>
      <c r="I2" s="14">
        <v>8</v>
      </c>
      <c r="J2" s="14" t="s">
        <v>45</v>
      </c>
      <c r="K2" s="14">
        <v>1000</v>
      </c>
      <c r="L2" s="14">
        <v>0</v>
      </c>
      <c r="M2" s="14" t="s">
        <v>128</v>
      </c>
      <c r="N2" s="14" t="s">
        <v>129</v>
      </c>
      <c r="O2" s="14" t="s">
        <v>130</v>
      </c>
      <c r="P2" s="14">
        <v>0</v>
      </c>
      <c r="Q2" s="14">
        <v>0</v>
      </c>
      <c r="R2" s="14">
        <v>8</v>
      </c>
      <c r="S2" s="14" t="s">
        <v>131</v>
      </c>
      <c r="T2" s="14" t="s">
        <v>132</v>
      </c>
      <c r="U2" s="14">
        <v>1</v>
      </c>
      <c r="V2" s="14">
        <v>0</v>
      </c>
      <c r="W2" s="14">
        <v>0</v>
      </c>
      <c r="X2" s="14">
        <v>255</v>
      </c>
      <c r="Y2" s="15" t="s">
        <v>133</v>
      </c>
      <c r="Z2" s="15" t="s">
        <v>134</v>
      </c>
      <c r="AA2" s="14" t="s">
        <v>130</v>
      </c>
      <c r="AB2" s="14" t="s">
        <v>135</v>
      </c>
      <c r="AC2" s="14" t="s">
        <v>136</v>
      </c>
      <c r="AD2" s="14" t="s">
        <v>137</v>
      </c>
      <c r="AE2" s="16" t="s">
        <v>130</v>
      </c>
    </row>
    <row r="3" ht="38" customHeight="1" spans="1:31">
      <c r="A3" s="17" t="s">
        <v>38</v>
      </c>
      <c r="B3" s="18" t="s">
        <v>39</v>
      </c>
      <c r="C3" s="18">
        <v>0</v>
      </c>
      <c r="D3" s="18" t="s">
        <v>40</v>
      </c>
      <c r="E3" s="18" t="s">
        <v>41</v>
      </c>
      <c r="F3" s="18" t="s">
        <v>42</v>
      </c>
      <c r="G3" s="18" t="s">
        <v>43</v>
      </c>
      <c r="H3" s="18" t="s">
        <v>44</v>
      </c>
      <c r="I3" s="18">
        <v>8</v>
      </c>
      <c r="J3" s="18" t="s">
        <v>45</v>
      </c>
      <c r="K3" s="18">
        <v>1000</v>
      </c>
      <c r="L3" s="18">
        <v>0</v>
      </c>
      <c r="M3" s="18" t="s">
        <v>138</v>
      </c>
      <c r="N3" s="18" t="s">
        <v>129</v>
      </c>
      <c r="O3" s="18" t="s">
        <v>130</v>
      </c>
      <c r="P3" s="18">
        <v>1</v>
      </c>
      <c r="Q3" s="18">
        <v>0</v>
      </c>
      <c r="R3" s="18">
        <v>1</v>
      </c>
      <c r="S3" s="18" t="s">
        <v>131</v>
      </c>
      <c r="T3" s="18" t="s">
        <v>132</v>
      </c>
      <c r="U3" s="18">
        <v>1</v>
      </c>
      <c r="V3" s="18">
        <v>0</v>
      </c>
      <c r="W3" s="18">
        <v>0</v>
      </c>
      <c r="X3" s="18">
        <v>1</v>
      </c>
      <c r="Y3" s="19" t="s">
        <v>139</v>
      </c>
      <c r="Z3" s="19" t="s">
        <v>139</v>
      </c>
      <c r="AA3" s="18" t="s">
        <v>130</v>
      </c>
      <c r="AB3" s="18" t="s">
        <v>140</v>
      </c>
      <c r="AC3" s="18" t="s">
        <v>141</v>
      </c>
      <c r="AD3" s="18" t="s">
        <v>137</v>
      </c>
      <c r="AE3" s="20" t="s">
        <v>130</v>
      </c>
    </row>
    <row r="4" ht="38" customHeight="1" spans="1:31">
      <c r="A4" s="17" t="s">
        <v>38</v>
      </c>
      <c r="B4" s="18" t="s">
        <v>39</v>
      </c>
      <c r="C4" s="18">
        <v>0</v>
      </c>
      <c r="D4" s="18" t="s">
        <v>40</v>
      </c>
      <c r="E4" s="18" t="s">
        <v>41</v>
      </c>
      <c r="F4" s="18" t="s">
        <v>42</v>
      </c>
      <c r="G4" s="18" t="s">
        <v>43</v>
      </c>
      <c r="H4" s="18" t="s">
        <v>44</v>
      </c>
      <c r="I4" s="18">
        <v>8</v>
      </c>
      <c r="J4" s="18" t="s">
        <v>45</v>
      </c>
      <c r="K4" s="18">
        <v>1000</v>
      </c>
      <c r="L4" s="18">
        <v>0</v>
      </c>
      <c r="M4" s="18" t="s">
        <v>142</v>
      </c>
      <c r="N4" s="18" t="s">
        <v>129</v>
      </c>
      <c r="O4" s="18" t="s">
        <v>130</v>
      </c>
      <c r="P4" s="18">
        <v>1</v>
      </c>
      <c r="Q4" s="18">
        <v>1</v>
      </c>
      <c r="R4" s="18">
        <v>1</v>
      </c>
      <c r="S4" s="18" t="s">
        <v>131</v>
      </c>
      <c r="T4" s="18" t="s">
        <v>132</v>
      </c>
      <c r="U4" s="18">
        <v>1</v>
      </c>
      <c r="V4" s="18">
        <v>0</v>
      </c>
      <c r="W4" s="18">
        <v>0</v>
      </c>
      <c r="X4" s="18">
        <v>1</v>
      </c>
      <c r="Y4" s="19" t="s">
        <v>139</v>
      </c>
      <c r="Z4" s="19" t="s">
        <v>139</v>
      </c>
      <c r="AA4" s="18" t="s">
        <v>130</v>
      </c>
      <c r="AB4" s="18" t="s">
        <v>143</v>
      </c>
      <c r="AC4" s="18" t="s">
        <v>144</v>
      </c>
      <c r="AD4" s="18" t="s">
        <v>137</v>
      </c>
      <c r="AE4" s="20" t="s">
        <v>130</v>
      </c>
    </row>
    <row r="5" ht="38" customHeight="1" spans="1:31">
      <c r="A5" s="17" t="s">
        <v>38</v>
      </c>
      <c r="B5" s="18" t="s">
        <v>39</v>
      </c>
      <c r="C5" s="18">
        <v>0</v>
      </c>
      <c r="D5" s="18" t="s">
        <v>40</v>
      </c>
      <c r="E5" s="18" t="s">
        <v>41</v>
      </c>
      <c r="F5" s="18" t="s">
        <v>42</v>
      </c>
      <c r="G5" s="18" t="s">
        <v>43</v>
      </c>
      <c r="H5" s="18" t="s">
        <v>44</v>
      </c>
      <c r="I5" s="18">
        <v>8</v>
      </c>
      <c r="J5" s="18" t="s">
        <v>45</v>
      </c>
      <c r="K5" s="18">
        <v>1000</v>
      </c>
      <c r="L5" s="18">
        <v>0</v>
      </c>
      <c r="M5" s="18" t="s">
        <v>145</v>
      </c>
      <c r="N5" s="18" t="s">
        <v>129</v>
      </c>
      <c r="O5" s="18" t="s">
        <v>130</v>
      </c>
      <c r="P5" s="18">
        <v>2</v>
      </c>
      <c r="Q5" s="18">
        <v>0</v>
      </c>
      <c r="R5" s="18">
        <v>1</v>
      </c>
      <c r="S5" s="18" t="s">
        <v>131</v>
      </c>
      <c r="T5" s="18" t="s">
        <v>132</v>
      </c>
      <c r="U5" s="18">
        <v>1</v>
      </c>
      <c r="V5" s="18">
        <v>0</v>
      </c>
      <c r="W5" s="18">
        <v>0</v>
      </c>
      <c r="X5" s="18">
        <v>1</v>
      </c>
      <c r="Y5" s="19" t="s">
        <v>139</v>
      </c>
      <c r="Z5" s="19" t="s">
        <v>139</v>
      </c>
      <c r="AA5" s="18" t="s">
        <v>130</v>
      </c>
      <c r="AB5" s="18" t="s">
        <v>146</v>
      </c>
      <c r="AC5" s="18" t="s">
        <v>147</v>
      </c>
      <c r="AD5" s="18" t="s">
        <v>137</v>
      </c>
      <c r="AE5" s="20" t="s">
        <v>130</v>
      </c>
    </row>
    <row r="6" ht="38" customHeight="1" spans="1:31">
      <c r="A6" s="17" t="s">
        <v>38</v>
      </c>
      <c r="B6" s="18" t="s">
        <v>39</v>
      </c>
      <c r="C6" s="18">
        <v>0</v>
      </c>
      <c r="D6" s="18" t="s">
        <v>40</v>
      </c>
      <c r="E6" s="18" t="s">
        <v>41</v>
      </c>
      <c r="F6" s="18" t="s">
        <v>42</v>
      </c>
      <c r="G6" s="18" t="s">
        <v>43</v>
      </c>
      <c r="H6" s="18" t="s">
        <v>44</v>
      </c>
      <c r="I6" s="18">
        <v>8</v>
      </c>
      <c r="J6" s="18" t="s">
        <v>45</v>
      </c>
      <c r="K6" s="18">
        <v>1000</v>
      </c>
      <c r="L6" s="18">
        <v>0</v>
      </c>
      <c r="M6" s="18" t="s">
        <v>148</v>
      </c>
      <c r="N6" s="18" t="s">
        <v>129</v>
      </c>
      <c r="O6" s="18" t="s">
        <v>130</v>
      </c>
      <c r="P6" s="18">
        <v>2</v>
      </c>
      <c r="Q6" s="18">
        <v>1</v>
      </c>
      <c r="R6" s="18">
        <v>3</v>
      </c>
      <c r="S6" s="18" t="s">
        <v>131</v>
      </c>
      <c r="T6" s="18" t="s">
        <v>132</v>
      </c>
      <c r="U6" s="18">
        <v>1</v>
      </c>
      <c r="V6" s="18">
        <v>0</v>
      </c>
      <c r="W6" s="18">
        <v>0</v>
      </c>
      <c r="X6" s="18">
        <v>7</v>
      </c>
      <c r="Y6" s="19" t="s">
        <v>139</v>
      </c>
      <c r="Z6" s="19" t="s">
        <v>149</v>
      </c>
      <c r="AA6" s="18" t="s">
        <v>130</v>
      </c>
      <c r="AB6" s="18" t="s">
        <v>150</v>
      </c>
      <c r="AC6" s="18" t="s">
        <v>151</v>
      </c>
      <c r="AD6" s="18" t="s">
        <v>137</v>
      </c>
      <c r="AE6" s="20" t="s">
        <v>130</v>
      </c>
    </row>
    <row r="7" ht="38" customHeight="1" spans="1:31">
      <c r="A7" s="13" t="s">
        <v>47</v>
      </c>
      <c r="B7" s="14" t="s">
        <v>39</v>
      </c>
      <c r="C7" s="14">
        <v>0</v>
      </c>
      <c r="D7" s="14" t="s">
        <v>48</v>
      </c>
      <c r="E7" s="14" t="s">
        <v>49</v>
      </c>
      <c r="F7" s="14" t="s">
        <v>41</v>
      </c>
      <c r="G7" s="14" t="s">
        <v>50</v>
      </c>
      <c r="H7" s="14" t="s">
        <v>44</v>
      </c>
      <c r="I7" s="14">
        <v>8</v>
      </c>
      <c r="J7" s="14" t="s">
        <v>45</v>
      </c>
      <c r="K7" s="14">
        <v>1000</v>
      </c>
      <c r="L7" s="14">
        <v>0</v>
      </c>
      <c r="M7" s="14" t="s">
        <v>152</v>
      </c>
      <c r="N7" s="14" t="s">
        <v>129</v>
      </c>
      <c r="O7" s="14" t="s">
        <v>130</v>
      </c>
      <c r="P7" s="14">
        <v>0</v>
      </c>
      <c r="Q7" s="14">
        <v>0</v>
      </c>
      <c r="R7" s="14">
        <v>8</v>
      </c>
      <c r="S7" s="14" t="s">
        <v>131</v>
      </c>
      <c r="T7" s="14" t="s">
        <v>132</v>
      </c>
      <c r="U7" s="14">
        <v>1</v>
      </c>
      <c r="V7" s="14">
        <v>0</v>
      </c>
      <c r="W7" s="14">
        <v>0</v>
      </c>
      <c r="X7" s="14">
        <v>255</v>
      </c>
      <c r="Y7" s="15" t="s">
        <v>153</v>
      </c>
      <c r="Z7" s="15" t="s">
        <v>134</v>
      </c>
      <c r="AA7" s="14" t="s">
        <v>130</v>
      </c>
      <c r="AB7" s="14" t="s">
        <v>154</v>
      </c>
      <c r="AC7" s="14" t="s">
        <v>155</v>
      </c>
      <c r="AD7" s="14" t="s">
        <v>137</v>
      </c>
      <c r="AE7" s="16" t="s">
        <v>130</v>
      </c>
    </row>
    <row r="8" ht="38" customHeight="1" spans="1:31">
      <c r="A8" s="17" t="s">
        <v>47</v>
      </c>
      <c r="B8" s="18" t="s">
        <v>39</v>
      </c>
      <c r="C8" s="18">
        <v>0</v>
      </c>
      <c r="D8" s="18" t="s">
        <v>48</v>
      </c>
      <c r="E8" s="18" t="s">
        <v>49</v>
      </c>
      <c r="F8" s="18" t="s">
        <v>41</v>
      </c>
      <c r="G8" s="18" t="s">
        <v>50</v>
      </c>
      <c r="H8" s="18" t="s">
        <v>44</v>
      </c>
      <c r="I8" s="18">
        <v>8</v>
      </c>
      <c r="J8" s="18" t="s">
        <v>45</v>
      </c>
      <c r="K8" s="18">
        <v>1000</v>
      </c>
      <c r="L8" s="18">
        <v>0</v>
      </c>
      <c r="M8" s="18" t="s">
        <v>156</v>
      </c>
      <c r="N8" s="18" t="s">
        <v>129</v>
      </c>
      <c r="O8" s="18" t="s">
        <v>130</v>
      </c>
      <c r="P8" s="18">
        <v>1</v>
      </c>
      <c r="Q8" s="18">
        <v>0</v>
      </c>
      <c r="R8" s="18">
        <v>1</v>
      </c>
      <c r="S8" s="18" t="s">
        <v>131</v>
      </c>
      <c r="T8" s="18" t="s">
        <v>132</v>
      </c>
      <c r="U8" s="18">
        <v>1</v>
      </c>
      <c r="V8" s="18">
        <v>0</v>
      </c>
      <c r="W8" s="18">
        <v>0</v>
      </c>
      <c r="X8" s="18">
        <v>1</v>
      </c>
      <c r="Y8" s="19" t="s">
        <v>139</v>
      </c>
      <c r="Z8" s="19" t="s">
        <v>139</v>
      </c>
      <c r="AA8" s="18" t="s">
        <v>130</v>
      </c>
      <c r="AB8" s="18" t="s">
        <v>140</v>
      </c>
      <c r="AC8" s="18" t="s">
        <v>141</v>
      </c>
      <c r="AD8" s="18" t="s">
        <v>137</v>
      </c>
      <c r="AE8" s="20" t="s">
        <v>130</v>
      </c>
    </row>
    <row r="9" ht="38" customHeight="1" spans="1:31">
      <c r="A9" s="17" t="s">
        <v>47</v>
      </c>
      <c r="B9" s="18" t="s">
        <v>39</v>
      </c>
      <c r="C9" s="18">
        <v>0</v>
      </c>
      <c r="D9" s="18" t="s">
        <v>48</v>
      </c>
      <c r="E9" s="18" t="s">
        <v>49</v>
      </c>
      <c r="F9" s="18" t="s">
        <v>41</v>
      </c>
      <c r="G9" s="18" t="s">
        <v>50</v>
      </c>
      <c r="H9" s="18" t="s">
        <v>44</v>
      </c>
      <c r="I9" s="18">
        <v>8</v>
      </c>
      <c r="J9" s="18" t="s">
        <v>45</v>
      </c>
      <c r="K9" s="18">
        <v>1000</v>
      </c>
      <c r="L9" s="18">
        <v>0</v>
      </c>
      <c r="M9" s="18" t="s">
        <v>157</v>
      </c>
      <c r="N9" s="18" t="s">
        <v>129</v>
      </c>
      <c r="O9" s="18" t="s">
        <v>130</v>
      </c>
      <c r="P9" s="18">
        <v>1</v>
      </c>
      <c r="Q9" s="18">
        <v>1</v>
      </c>
      <c r="R9" s="18">
        <v>1</v>
      </c>
      <c r="S9" s="18" t="s">
        <v>131</v>
      </c>
      <c r="T9" s="18" t="s">
        <v>132</v>
      </c>
      <c r="U9" s="18">
        <v>1</v>
      </c>
      <c r="V9" s="18">
        <v>0</v>
      </c>
      <c r="W9" s="18">
        <v>0</v>
      </c>
      <c r="X9" s="18">
        <v>1</v>
      </c>
      <c r="Y9" s="19" t="s">
        <v>139</v>
      </c>
      <c r="Z9" s="19" t="s">
        <v>139</v>
      </c>
      <c r="AA9" s="18" t="s">
        <v>130</v>
      </c>
      <c r="AB9" s="18" t="s">
        <v>143</v>
      </c>
      <c r="AC9" s="18" t="s">
        <v>144</v>
      </c>
      <c r="AD9" s="18" t="s">
        <v>137</v>
      </c>
      <c r="AE9" s="20" t="s">
        <v>130</v>
      </c>
    </row>
    <row r="10" ht="38" customHeight="1" spans="1:31">
      <c r="A10" s="17" t="s">
        <v>47</v>
      </c>
      <c r="B10" s="18" t="s">
        <v>39</v>
      </c>
      <c r="C10" s="18">
        <v>0</v>
      </c>
      <c r="D10" s="18" t="s">
        <v>48</v>
      </c>
      <c r="E10" s="18" t="s">
        <v>49</v>
      </c>
      <c r="F10" s="18" t="s">
        <v>41</v>
      </c>
      <c r="G10" s="18" t="s">
        <v>50</v>
      </c>
      <c r="H10" s="18" t="s">
        <v>44</v>
      </c>
      <c r="I10" s="18">
        <v>8</v>
      </c>
      <c r="J10" s="18" t="s">
        <v>45</v>
      </c>
      <c r="K10" s="18">
        <v>1000</v>
      </c>
      <c r="L10" s="18">
        <v>0</v>
      </c>
      <c r="M10" s="18" t="s">
        <v>158</v>
      </c>
      <c r="N10" s="18" t="s">
        <v>129</v>
      </c>
      <c r="O10" s="18" t="s">
        <v>130</v>
      </c>
      <c r="P10" s="18">
        <v>2</v>
      </c>
      <c r="Q10" s="18">
        <v>0</v>
      </c>
      <c r="R10" s="18">
        <v>1</v>
      </c>
      <c r="S10" s="18" t="s">
        <v>131</v>
      </c>
      <c r="T10" s="18" t="s">
        <v>132</v>
      </c>
      <c r="U10" s="18">
        <v>1</v>
      </c>
      <c r="V10" s="18">
        <v>0</v>
      </c>
      <c r="W10" s="18">
        <v>0</v>
      </c>
      <c r="X10" s="18">
        <v>1</v>
      </c>
      <c r="Y10" s="19" t="s">
        <v>139</v>
      </c>
      <c r="Z10" s="19" t="s">
        <v>139</v>
      </c>
      <c r="AA10" s="18" t="s">
        <v>130</v>
      </c>
      <c r="AB10" s="18" t="s">
        <v>146</v>
      </c>
      <c r="AC10" s="18" t="s">
        <v>147</v>
      </c>
      <c r="AD10" s="18" t="s">
        <v>137</v>
      </c>
      <c r="AE10" s="20" t="s">
        <v>130</v>
      </c>
    </row>
    <row r="11" ht="38" customHeight="1" spans="1:31">
      <c r="A11" s="17" t="s">
        <v>47</v>
      </c>
      <c r="B11" s="18" t="s">
        <v>39</v>
      </c>
      <c r="C11" s="18">
        <v>0</v>
      </c>
      <c r="D11" s="18" t="s">
        <v>48</v>
      </c>
      <c r="E11" s="18" t="s">
        <v>49</v>
      </c>
      <c r="F11" s="18" t="s">
        <v>41</v>
      </c>
      <c r="G11" s="18" t="s">
        <v>50</v>
      </c>
      <c r="H11" s="18" t="s">
        <v>44</v>
      </c>
      <c r="I11" s="18">
        <v>8</v>
      </c>
      <c r="J11" s="18" t="s">
        <v>45</v>
      </c>
      <c r="K11" s="18">
        <v>1000</v>
      </c>
      <c r="L11" s="18">
        <v>0</v>
      </c>
      <c r="M11" s="18" t="s">
        <v>159</v>
      </c>
      <c r="N11" s="18" t="s">
        <v>129</v>
      </c>
      <c r="O11" s="18" t="s">
        <v>130</v>
      </c>
      <c r="P11" s="18">
        <v>2</v>
      </c>
      <c r="Q11" s="18">
        <v>1</v>
      </c>
      <c r="R11" s="18">
        <v>1</v>
      </c>
      <c r="S11" s="18" t="s">
        <v>131</v>
      </c>
      <c r="T11" s="18" t="s">
        <v>132</v>
      </c>
      <c r="U11" s="18">
        <v>1</v>
      </c>
      <c r="V11" s="18">
        <v>0</v>
      </c>
      <c r="W11" s="18">
        <v>0</v>
      </c>
      <c r="X11" s="18">
        <v>1</v>
      </c>
      <c r="Y11" s="19" t="s">
        <v>139</v>
      </c>
      <c r="Z11" s="19" t="s">
        <v>139</v>
      </c>
      <c r="AA11" s="18" t="s">
        <v>130</v>
      </c>
      <c r="AB11" s="18" t="s">
        <v>160</v>
      </c>
      <c r="AC11" s="18" t="s">
        <v>161</v>
      </c>
      <c r="AD11" s="18" t="s">
        <v>137</v>
      </c>
      <c r="AE11" s="20" t="s">
        <v>130</v>
      </c>
    </row>
    <row r="12" ht="38" customHeight="1" spans="1:31">
      <c r="A12" s="17" t="s">
        <v>47</v>
      </c>
      <c r="B12" s="18" t="s">
        <v>39</v>
      </c>
      <c r="C12" s="18">
        <v>0</v>
      </c>
      <c r="D12" s="18" t="s">
        <v>48</v>
      </c>
      <c r="E12" s="18" t="s">
        <v>49</v>
      </c>
      <c r="F12" s="18" t="s">
        <v>41</v>
      </c>
      <c r="G12" s="18" t="s">
        <v>50</v>
      </c>
      <c r="H12" s="18" t="s">
        <v>44</v>
      </c>
      <c r="I12" s="18">
        <v>8</v>
      </c>
      <c r="J12" s="18" t="s">
        <v>45</v>
      </c>
      <c r="K12" s="18">
        <v>1000</v>
      </c>
      <c r="L12" s="18">
        <v>0</v>
      </c>
      <c r="M12" s="18" t="s">
        <v>162</v>
      </c>
      <c r="N12" s="18" t="s">
        <v>129</v>
      </c>
      <c r="O12" s="18" t="s">
        <v>130</v>
      </c>
      <c r="P12" s="18">
        <v>2</v>
      </c>
      <c r="Q12" s="18">
        <v>2</v>
      </c>
      <c r="R12" s="18">
        <v>1</v>
      </c>
      <c r="S12" s="18" t="s">
        <v>131</v>
      </c>
      <c r="T12" s="18" t="s">
        <v>132</v>
      </c>
      <c r="U12" s="18">
        <v>1</v>
      </c>
      <c r="V12" s="18">
        <v>0</v>
      </c>
      <c r="W12" s="18">
        <v>0</v>
      </c>
      <c r="X12" s="18">
        <v>1</v>
      </c>
      <c r="Y12" s="19" t="s">
        <v>139</v>
      </c>
      <c r="Z12" s="19" t="s">
        <v>139</v>
      </c>
      <c r="AA12" s="18" t="s">
        <v>130</v>
      </c>
      <c r="AB12" s="18" t="s">
        <v>160</v>
      </c>
      <c r="AC12" s="18" t="s">
        <v>163</v>
      </c>
      <c r="AD12" s="18" t="s">
        <v>137</v>
      </c>
      <c r="AE12" s="20" t="s">
        <v>130</v>
      </c>
    </row>
    <row r="13" ht="38" customHeight="1" spans="1:31">
      <c r="A13" s="13" t="s">
        <v>52</v>
      </c>
      <c r="B13" s="14" t="s">
        <v>39</v>
      </c>
      <c r="C13" s="14">
        <v>0</v>
      </c>
      <c r="D13" s="14" t="s">
        <v>48</v>
      </c>
      <c r="E13" s="14" t="s">
        <v>53</v>
      </c>
      <c r="F13" s="14" t="s">
        <v>54</v>
      </c>
      <c r="G13" s="14" t="s">
        <v>55</v>
      </c>
      <c r="H13" s="14" t="s">
        <v>56</v>
      </c>
      <c r="I13" s="14">
        <v>8</v>
      </c>
      <c r="J13" s="14" t="s">
        <v>57</v>
      </c>
      <c r="K13" s="14">
        <v>0</v>
      </c>
      <c r="L13" s="14">
        <v>0</v>
      </c>
      <c r="M13" s="14" t="s">
        <v>164</v>
      </c>
      <c r="N13" s="14" t="s">
        <v>129</v>
      </c>
      <c r="O13" s="14" t="s">
        <v>130</v>
      </c>
      <c r="P13" s="14">
        <v>0</v>
      </c>
      <c r="Q13" s="14">
        <v>0</v>
      </c>
      <c r="R13" s="14">
        <v>64</v>
      </c>
      <c r="S13" s="14" t="s">
        <v>131</v>
      </c>
      <c r="T13" s="14" t="s">
        <v>132</v>
      </c>
      <c r="U13" s="14">
        <v>1</v>
      </c>
      <c r="V13" s="14">
        <v>0</v>
      </c>
      <c r="W13" s="14">
        <v>0</v>
      </c>
      <c r="X13" s="14">
        <v>0</v>
      </c>
      <c r="Y13" s="15" t="s">
        <v>165</v>
      </c>
      <c r="Z13" s="15" t="s">
        <v>165</v>
      </c>
      <c r="AA13" s="14" t="s">
        <v>130</v>
      </c>
      <c r="AB13" s="14" t="s">
        <v>130</v>
      </c>
      <c r="AC13" s="14" t="s">
        <v>166</v>
      </c>
      <c r="AD13" s="14" t="s">
        <v>137</v>
      </c>
      <c r="AE13" s="16" t="s">
        <v>167</v>
      </c>
    </row>
    <row r="14" ht="38" customHeight="1" spans="1:31">
      <c r="A14" s="13" t="s">
        <v>59</v>
      </c>
      <c r="B14" s="14" t="s">
        <v>39</v>
      </c>
      <c r="C14" s="14">
        <v>0</v>
      </c>
      <c r="D14" s="14" t="s">
        <v>48</v>
      </c>
      <c r="E14" s="14" t="s">
        <v>53</v>
      </c>
      <c r="F14" s="14" t="s">
        <v>41</v>
      </c>
      <c r="G14" s="14" t="s">
        <v>60</v>
      </c>
      <c r="H14" s="14" t="s">
        <v>56</v>
      </c>
      <c r="I14" s="14">
        <v>8</v>
      </c>
      <c r="J14" s="14" t="s">
        <v>57</v>
      </c>
      <c r="K14" s="14">
        <v>0</v>
      </c>
      <c r="L14" s="14">
        <v>0</v>
      </c>
      <c r="M14" s="14" t="s">
        <v>168</v>
      </c>
      <c r="N14" s="14" t="s">
        <v>129</v>
      </c>
      <c r="O14" s="14" t="s">
        <v>130</v>
      </c>
      <c r="P14" s="14">
        <v>0</v>
      </c>
      <c r="Q14" s="14">
        <v>0</v>
      </c>
      <c r="R14" s="14">
        <v>64</v>
      </c>
      <c r="S14" s="14" t="s">
        <v>131</v>
      </c>
      <c r="T14" s="14" t="s">
        <v>132</v>
      </c>
      <c r="U14" s="14">
        <v>1</v>
      </c>
      <c r="V14" s="14">
        <v>0</v>
      </c>
      <c r="W14" s="14">
        <v>0</v>
      </c>
      <c r="X14" s="14">
        <v>0</v>
      </c>
      <c r="Y14" s="15" t="s">
        <v>165</v>
      </c>
      <c r="Z14" s="15" t="s">
        <v>165</v>
      </c>
      <c r="AA14" s="14" t="s">
        <v>130</v>
      </c>
      <c r="AB14" s="14" t="s">
        <v>130</v>
      </c>
      <c r="AC14" s="14" t="s">
        <v>169</v>
      </c>
      <c r="AD14" s="14" t="s">
        <v>137</v>
      </c>
      <c r="AE14" s="16" t="s">
        <v>170</v>
      </c>
    </row>
    <row r="15" ht="38" customHeight="1" spans="1:31">
      <c r="A15" s="13" t="s">
        <v>62</v>
      </c>
      <c r="B15" s="14" t="s">
        <v>39</v>
      </c>
      <c r="C15" s="14">
        <v>0</v>
      </c>
      <c r="D15" s="14" t="s">
        <v>40</v>
      </c>
      <c r="E15" s="14" t="s">
        <v>41</v>
      </c>
      <c r="F15" s="14" t="s">
        <v>53</v>
      </c>
      <c r="G15" s="14" t="s">
        <v>63</v>
      </c>
      <c r="H15" s="14" t="s">
        <v>56</v>
      </c>
      <c r="I15" s="14">
        <v>8</v>
      </c>
      <c r="J15" s="14" t="s">
        <v>57</v>
      </c>
      <c r="K15" s="14">
        <v>0</v>
      </c>
      <c r="L15" s="14">
        <v>0</v>
      </c>
      <c r="M15" s="14" t="s">
        <v>171</v>
      </c>
      <c r="N15" s="14" t="s">
        <v>129</v>
      </c>
      <c r="O15" s="14" t="s">
        <v>130</v>
      </c>
      <c r="P15" s="14">
        <v>0</v>
      </c>
      <c r="Q15" s="14">
        <v>0</v>
      </c>
      <c r="R15" s="14">
        <v>64</v>
      </c>
      <c r="S15" s="14" t="s">
        <v>131</v>
      </c>
      <c r="T15" s="14" t="s">
        <v>132</v>
      </c>
      <c r="U15" s="14">
        <v>1</v>
      </c>
      <c r="V15" s="14">
        <v>0</v>
      </c>
      <c r="W15" s="14">
        <v>0</v>
      </c>
      <c r="X15" s="14">
        <v>0</v>
      </c>
      <c r="Y15" s="15" t="s">
        <v>165</v>
      </c>
      <c r="Z15" s="15" t="s">
        <v>165</v>
      </c>
      <c r="AA15" s="14" t="s">
        <v>130</v>
      </c>
      <c r="AB15" s="14" t="s">
        <v>130</v>
      </c>
      <c r="AC15" s="14" t="s">
        <v>172</v>
      </c>
      <c r="AD15" s="14" t="s">
        <v>137</v>
      </c>
      <c r="AE15" s="16" t="s">
        <v>173</v>
      </c>
    </row>
    <row r="16" ht="38" customHeight="1" spans="1:31">
      <c r="A16" s="13" t="s">
        <v>65</v>
      </c>
      <c r="B16" s="14" t="s">
        <v>39</v>
      </c>
      <c r="C16" s="14">
        <v>0</v>
      </c>
      <c r="D16" s="14" t="s">
        <v>48</v>
      </c>
      <c r="E16" s="14" t="s">
        <v>66</v>
      </c>
      <c r="F16" s="14" t="s">
        <v>41</v>
      </c>
      <c r="G16" s="14" t="s">
        <v>67</v>
      </c>
      <c r="H16" s="14" t="s">
        <v>68</v>
      </c>
      <c r="I16" s="14">
        <v>8</v>
      </c>
      <c r="J16" s="14" t="s">
        <v>69</v>
      </c>
      <c r="K16" s="14">
        <v>20</v>
      </c>
      <c r="L16" s="14">
        <v>0</v>
      </c>
      <c r="M16" s="14" t="s">
        <v>174</v>
      </c>
      <c r="N16" s="14" t="s">
        <v>129</v>
      </c>
      <c r="O16" s="14" t="s">
        <v>130</v>
      </c>
      <c r="P16" s="14">
        <v>0</v>
      </c>
      <c r="Q16" s="14">
        <v>0</v>
      </c>
      <c r="R16" s="14">
        <v>13</v>
      </c>
      <c r="S16" s="14" t="s">
        <v>131</v>
      </c>
      <c r="T16" s="14" t="s">
        <v>132</v>
      </c>
      <c r="U16" s="14">
        <v>0.0625</v>
      </c>
      <c r="V16" s="14">
        <v>0</v>
      </c>
      <c r="W16" s="14">
        <v>0</v>
      </c>
      <c r="X16" s="14">
        <v>511.875</v>
      </c>
      <c r="Y16" s="15" t="s">
        <v>175</v>
      </c>
      <c r="Z16" s="15" t="s">
        <v>176</v>
      </c>
      <c r="AA16" s="14" t="s">
        <v>177</v>
      </c>
      <c r="AB16" s="14" t="s">
        <v>130</v>
      </c>
      <c r="AC16" s="14" t="s">
        <v>178</v>
      </c>
      <c r="AD16" s="14" t="s">
        <v>137</v>
      </c>
      <c r="AE16" s="16" t="s">
        <v>179</v>
      </c>
    </row>
    <row r="17" ht="38" customHeight="1" spans="1:31">
      <c r="A17" s="17" t="s">
        <v>65</v>
      </c>
      <c r="B17" s="18" t="s">
        <v>39</v>
      </c>
      <c r="C17" s="18">
        <v>0</v>
      </c>
      <c r="D17" s="18" t="s">
        <v>48</v>
      </c>
      <c r="E17" s="18" t="s">
        <v>66</v>
      </c>
      <c r="F17" s="18" t="s">
        <v>41</v>
      </c>
      <c r="G17" s="18" t="s">
        <v>67</v>
      </c>
      <c r="H17" s="18" t="s">
        <v>68</v>
      </c>
      <c r="I17" s="18">
        <v>8</v>
      </c>
      <c r="J17" s="18" t="s">
        <v>69</v>
      </c>
      <c r="K17" s="18">
        <v>20</v>
      </c>
      <c r="L17" s="18">
        <v>0</v>
      </c>
      <c r="M17" s="18" t="s">
        <v>180</v>
      </c>
      <c r="N17" s="18" t="s">
        <v>129</v>
      </c>
      <c r="O17" s="18" t="s">
        <v>130</v>
      </c>
      <c r="P17" s="18">
        <v>2</v>
      </c>
      <c r="Q17" s="18">
        <v>0</v>
      </c>
      <c r="R17" s="18">
        <v>16</v>
      </c>
      <c r="S17" s="18" t="s">
        <v>131</v>
      </c>
      <c r="T17" s="18" t="s">
        <v>132</v>
      </c>
      <c r="U17" s="18">
        <v>0.25</v>
      </c>
      <c r="V17" s="18">
        <v>0</v>
      </c>
      <c r="W17" s="18">
        <v>0</v>
      </c>
      <c r="X17" s="18">
        <v>16000</v>
      </c>
      <c r="Y17" s="19" t="s">
        <v>175</v>
      </c>
      <c r="Z17" s="19" t="s">
        <v>181</v>
      </c>
      <c r="AA17" s="18" t="s">
        <v>182</v>
      </c>
      <c r="AB17" s="18" t="s">
        <v>130</v>
      </c>
      <c r="AC17" s="18" t="s">
        <v>183</v>
      </c>
      <c r="AD17" s="18" t="s">
        <v>137</v>
      </c>
      <c r="AE17" s="20" t="s">
        <v>184</v>
      </c>
    </row>
    <row r="18" ht="38" customHeight="1" spans="1:31">
      <c r="A18" s="17" t="s">
        <v>65</v>
      </c>
      <c r="B18" s="18" t="s">
        <v>39</v>
      </c>
      <c r="C18" s="18">
        <v>0</v>
      </c>
      <c r="D18" s="18" t="s">
        <v>48</v>
      </c>
      <c r="E18" s="18" t="s">
        <v>66</v>
      </c>
      <c r="F18" s="18" t="s">
        <v>41</v>
      </c>
      <c r="G18" s="18" t="s">
        <v>67</v>
      </c>
      <c r="H18" s="18" t="s">
        <v>68</v>
      </c>
      <c r="I18" s="18">
        <v>8</v>
      </c>
      <c r="J18" s="18" t="s">
        <v>69</v>
      </c>
      <c r="K18" s="18">
        <v>20</v>
      </c>
      <c r="L18" s="18">
        <v>0</v>
      </c>
      <c r="M18" s="18" t="s">
        <v>185</v>
      </c>
      <c r="N18" s="18" t="s">
        <v>129</v>
      </c>
      <c r="O18" s="18" t="s">
        <v>130</v>
      </c>
      <c r="P18" s="18">
        <v>4</v>
      </c>
      <c r="Q18" s="18">
        <v>0</v>
      </c>
      <c r="R18" s="18">
        <v>8</v>
      </c>
      <c r="S18" s="18" t="s">
        <v>131</v>
      </c>
      <c r="T18" s="18" t="s">
        <v>132</v>
      </c>
      <c r="U18" s="18">
        <v>0.4</v>
      </c>
      <c r="V18" s="18">
        <v>0</v>
      </c>
      <c r="W18" s="18">
        <v>0</v>
      </c>
      <c r="X18" s="18">
        <v>100</v>
      </c>
      <c r="Y18" s="19" t="s">
        <v>165</v>
      </c>
      <c r="Z18" s="19" t="s">
        <v>134</v>
      </c>
      <c r="AA18" s="18" t="s">
        <v>186</v>
      </c>
      <c r="AB18" s="18" t="s">
        <v>130</v>
      </c>
      <c r="AC18" s="18" t="s">
        <v>187</v>
      </c>
      <c r="AD18" s="18" t="s">
        <v>137</v>
      </c>
      <c r="AE18" s="20" t="s">
        <v>188</v>
      </c>
    </row>
    <row r="19" ht="38" customHeight="1" spans="1:31">
      <c r="A19" s="17" t="s">
        <v>65</v>
      </c>
      <c r="B19" s="18" t="s">
        <v>39</v>
      </c>
      <c r="C19" s="18">
        <v>0</v>
      </c>
      <c r="D19" s="18" t="s">
        <v>48</v>
      </c>
      <c r="E19" s="18" t="s">
        <v>66</v>
      </c>
      <c r="F19" s="18" t="s">
        <v>41</v>
      </c>
      <c r="G19" s="18" t="s">
        <v>67</v>
      </c>
      <c r="H19" s="18" t="s">
        <v>68</v>
      </c>
      <c r="I19" s="18">
        <v>8</v>
      </c>
      <c r="J19" s="18" t="s">
        <v>69</v>
      </c>
      <c r="K19" s="18">
        <v>20</v>
      </c>
      <c r="L19" s="18">
        <v>0</v>
      </c>
      <c r="M19" s="18" t="s">
        <v>189</v>
      </c>
      <c r="N19" s="18" t="s">
        <v>129</v>
      </c>
      <c r="O19" s="18" t="s">
        <v>130</v>
      </c>
      <c r="P19" s="18">
        <v>5</v>
      </c>
      <c r="Q19" s="18">
        <v>0</v>
      </c>
      <c r="R19" s="18">
        <v>8</v>
      </c>
      <c r="S19" s="18" t="s">
        <v>131</v>
      </c>
      <c r="T19" s="18" t="s">
        <v>190</v>
      </c>
      <c r="U19" s="18">
        <v>1</v>
      </c>
      <c r="V19" s="18">
        <v>-40</v>
      </c>
      <c r="W19" s="18">
        <v>-40</v>
      </c>
      <c r="X19" s="18">
        <v>215</v>
      </c>
      <c r="Y19" s="19" t="s">
        <v>191</v>
      </c>
      <c r="Z19" s="19" t="s">
        <v>134</v>
      </c>
      <c r="AA19" s="18" t="s">
        <v>192</v>
      </c>
      <c r="AB19" s="18" t="s">
        <v>130</v>
      </c>
      <c r="AC19" s="18" t="s">
        <v>193</v>
      </c>
      <c r="AD19" s="18" t="s">
        <v>137</v>
      </c>
      <c r="AE19" s="20" t="s">
        <v>130</v>
      </c>
    </row>
    <row r="20" ht="38" customHeight="1" spans="1:31">
      <c r="A20" s="17" t="s">
        <v>65</v>
      </c>
      <c r="B20" s="18" t="s">
        <v>39</v>
      </c>
      <c r="C20" s="18">
        <v>0</v>
      </c>
      <c r="D20" s="18" t="s">
        <v>48</v>
      </c>
      <c r="E20" s="18" t="s">
        <v>66</v>
      </c>
      <c r="F20" s="18" t="s">
        <v>41</v>
      </c>
      <c r="G20" s="18" t="s">
        <v>67</v>
      </c>
      <c r="H20" s="18" t="s">
        <v>68</v>
      </c>
      <c r="I20" s="18">
        <v>8</v>
      </c>
      <c r="J20" s="18" t="s">
        <v>69</v>
      </c>
      <c r="K20" s="18">
        <v>20</v>
      </c>
      <c r="L20" s="18">
        <v>0</v>
      </c>
      <c r="M20" s="18" t="s">
        <v>194</v>
      </c>
      <c r="N20" s="18" t="s">
        <v>129</v>
      </c>
      <c r="O20" s="18" t="s">
        <v>130</v>
      </c>
      <c r="P20" s="18">
        <v>6</v>
      </c>
      <c r="Q20" s="18">
        <v>0</v>
      </c>
      <c r="R20" s="18">
        <v>8</v>
      </c>
      <c r="S20" s="18" t="s">
        <v>131</v>
      </c>
      <c r="T20" s="18" t="s">
        <v>190</v>
      </c>
      <c r="U20" s="18">
        <v>1</v>
      </c>
      <c r="V20" s="18">
        <v>-40</v>
      </c>
      <c r="W20" s="18">
        <v>-40</v>
      </c>
      <c r="X20" s="18">
        <v>85</v>
      </c>
      <c r="Y20" s="19" t="s">
        <v>191</v>
      </c>
      <c r="Z20" s="19" t="s">
        <v>134</v>
      </c>
      <c r="AA20" s="18" t="s">
        <v>192</v>
      </c>
      <c r="AB20" s="18" t="s">
        <v>130</v>
      </c>
      <c r="AC20" s="18" t="s">
        <v>195</v>
      </c>
      <c r="AD20" s="18" t="s">
        <v>137</v>
      </c>
      <c r="AE20" s="20" t="s">
        <v>130</v>
      </c>
    </row>
    <row r="21" ht="38" customHeight="1" spans="1:31">
      <c r="A21" s="17" t="s">
        <v>65</v>
      </c>
      <c r="B21" s="18" t="s">
        <v>39</v>
      </c>
      <c r="C21" s="18">
        <v>0</v>
      </c>
      <c r="D21" s="18" t="s">
        <v>48</v>
      </c>
      <c r="E21" s="18" t="s">
        <v>66</v>
      </c>
      <c r="F21" s="18" t="s">
        <v>41</v>
      </c>
      <c r="G21" s="18" t="s">
        <v>67</v>
      </c>
      <c r="H21" s="18" t="s">
        <v>68</v>
      </c>
      <c r="I21" s="18">
        <v>8</v>
      </c>
      <c r="J21" s="18" t="s">
        <v>69</v>
      </c>
      <c r="K21" s="18">
        <v>20</v>
      </c>
      <c r="L21" s="18">
        <v>0</v>
      </c>
      <c r="M21" s="18" t="s">
        <v>196</v>
      </c>
      <c r="N21" s="18" t="s">
        <v>129</v>
      </c>
      <c r="O21" s="18" t="s">
        <v>130</v>
      </c>
      <c r="P21" s="18">
        <v>7</v>
      </c>
      <c r="Q21" s="18">
        <v>0</v>
      </c>
      <c r="R21" s="18">
        <v>8</v>
      </c>
      <c r="S21" s="18" t="s">
        <v>131</v>
      </c>
      <c r="T21" s="18" t="s">
        <v>132</v>
      </c>
      <c r="U21" s="18">
        <v>0.1</v>
      </c>
      <c r="V21" s="18">
        <v>0</v>
      </c>
      <c r="W21" s="18">
        <v>0</v>
      </c>
      <c r="X21" s="18">
        <v>25.5</v>
      </c>
      <c r="Y21" s="19" t="s">
        <v>197</v>
      </c>
      <c r="Z21" s="19" t="s">
        <v>134</v>
      </c>
      <c r="AA21" s="18" t="s">
        <v>198</v>
      </c>
      <c r="AB21" s="18" t="s">
        <v>130</v>
      </c>
      <c r="AC21" s="18" t="s">
        <v>199</v>
      </c>
      <c r="AD21" s="18" t="s">
        <v>137</v>
      </c>
      <c r="AE21" s="20" t="s">
        <v>130</v>
      </c>
    </row>
    <row r="22" ht="38" customHeight="1" spans="1:31">
      <c r="A22" s="13" t="s">
        <v>71</v>
      </c>
      <c r="B22" s="14" t="s">
        <v>39</v>
      </c>
      <c r="C22" s="14">
        <v>0</v>
      </c>
      <c r="D22" s="14" t="s">
        <v>48</v>
      </c>
      <c r="E22" s="14" t="s">
        <v>72</v>
      </c>
      <c r="F22" s="14" t="s">
        <v>41</v>
      </c>
      <c r="G22" s="14" t="s">
        <v>73</v>
      </c>
      <c r="H22" s="14" t="s">
        <v>74</v>
      </c>
      <c r="I22" s="14">
        <v>8</v>
      </c>
      <c r="J22" s="14" t="s">
        <v>45</v>
      </c>
      <c r="K22" s="14">
        <v>100</v>
      </c>
      <c r="L22" s="14">
        <v>0</v>
      </c>
      <c r="M22" s="14" t="s">
        <v>200</v>
      </c>
      <c r="N22" s="14" t="s">
        <v>129</v>
      </c>
      <c r="O22" s="14" t="s">
        <v>130</v>
      </c>
      <c r="P22" s="14">
        <v>0</v>
      </c>
      <c r="Q22" s="14">
        <v>0</v>
      </c>
      <c r="R22" s="14">
        <v>2</v>
      </c>
      <c r="S22" s="14" t="s">
        <v>131</v>
      </c>
      <c r="T22" s="14" t="s">
        <v>132</v>
      </c>
      <c r="U22" s="14">
        <v>1</v>
      </c>
      <c r="V22" s="14">
        <v>0</v>
      </c>
      <c r="W22" s="14">
        <v>0</v>
      </c>
      <c r="X22" s="14">
        <v>3</v>
      </c>
      <c r="Y22" s="15" t="s">
        <v>139</v>
      </c>
      <c r="Z22" s="15" t="s">
        <v>201</v>
      </c>
      <c r="AA22" s="14" t="s">
        <v>130</v>
      </c>
      <c r="AB22" s="14" t="s">
        <v>202</v>
      </c>
      <c r="AC22" s="14" t="s">
        <v>203</v>
      </c>
      <c r="AD22" s="14" t="s">
        <v>137</v>
      </c>
      <c r="AE22" s="16" t="s">
        <v>130</v>
      </c>
    </row>
    <row r="23" ht="38" customHeight="1" spans="1:31">
      <c r="A23" s="17" t="s">
        <v>71</v>
      </c>
      <c r="B23" s="18" t="s">
        <v>39</v>
      </c>
      <c r="C23" s="18">
        <v>0</v>
      </c>
      <c r="D23" s="18" t="s">
        <v>48</v>
      </c>
      <c r="E23" s="18" t="s">
        <v>72</v>
      </c>
      <c r="F23" s="18" t="s">
        <v>41</v>
      </c>
      <c r="G23" s="18" t="s">
        <v>73</v>
      </c>
      <c r="H23" s="18" t="s">
        <v>74</v>
      </c>
      <c r="I23" s="18">
        <v>8</v>
      </c>
      <c r="J23" s="18" t="s">
        <v>45</v>
      </c>
      <c r="K23" s="18">
        <v>100</v>
      </c>
      <c r="L23" s="18">
        <v>0</v>
      </c>
      <c r="M23" s="18" t="s">
        <v>204</v>
      </c>
      <c r="N23" s="18" t="s">
        <v>129</v>
      </c>
      <c r="O23" s="18" t="s">
        <v>130</v>
      </c>
      <c r="P23" s="18">
        <v>0</v>
      </c>
      <c r="Q23" s="18">
        <v>2</v>
      </c>
      <c r="R23" s="18">
        <v>4</v>
      </c>
      <c r="S23" s="18" t="s">
        <v>131</v>
      </c>
      <c r="T23" s="18" t="s">
        <v>132</v>
      </c>
      <c r="U23" s="18">
        <v>1</v>
      </c>
      <c r="V23" s="18">
        <v>0</v>
      </c>
      <c r="W23" s="18">
        <v>0</v>
      </c>
      <c r="X23" s="18">
        <v>15</v>
      </c>
      <c r="Y23" s="19" t="s">
        <v>139</v>
      </c>
      <c r="Z23" s="19" t="s">
        <v>205</v>
      </c>
      <c r="AA23" s="18" t="s">
        <v>130</v>
      </c>
      <c r="AB23" s="18" t="s">
        <v>206</v>
      </c>
      <c r="AC23" s="18" t="s">
        <v>207</v>
      </c>
      <c r="AD23" s="18" t="s">
        <v>137</v>
      </c>
      <c r="AE23" s="20" t="s">
        <v>130</v>
      </c>
    </row>
    <row r="24" ht="38" customHeight="1" spans="1:31">
      <c r="A24" s="17" t="s">
        <v>71</v>
      </c>
      <c r="B24" s="18" t="s">
        <v>39</v>
      </c>
      <c r="C24" s="18">
        <v>0</v>
      </c>
      <c r="D24" s="18" t="s">
        <v>48</v>
      </c>
      <c r="E24" s="18" t="s">
        <v>72</v>
      </c>
      <c r="F24" s="18" t="s">
        <v>41</v>
      </c>
      <c r="G24" s="18" t="s">
        <v>73</v>
      </c>
      <c r="H24" s="18" t="s">
        <v>74</v>
      </c>
      <c r="I24" s="18">
        <v>8</v>
      </c>
      <c r="J24" s="18" t="s">
        <v>45</v>
      </c>
      <c r="K24" s="18">
        <v>100</v>
      </c>
      <c r="L24" s="18">
        <v>0</v>
      </c>
      <c r="M24" s="18" t="s">
        <v>208</v>
      </c>
      <c r="N24" s="18" t="s">
        <v>129</v>
      </c>
      <c r="O24" s="18" t="s">
        <v>130</v>
      </c>
      <c r="P24" s="18">
        <v>1</v>
      </c>
      <c r="Q24" s="18">
        <v>0</v>
      </c>
      <c r="R24" s="18">
        <v>1</v>
      </c>
      <c r="S24" s="18" t="s">
        <v>131</v>
      </c>
      <c r="T24" s="18" t="s">
        <v>132</v>
      </c>
      <c r="U24" s="18">
        <v>1</v>
      </c>
      <c r="V24" s="18">
        <v>0</v>
      </c>
      <c r="W24" s="18">
        <v>0</v>
      </c>
      <c r="X24" s="18">
        <v>1</v>
      </c>
      <c r="Y24" s="19" t="s">
        <v>139</v>
      </c>
      <c r="Z24" s="19" t="s">
        <v>139</v>
      </c>
      <c r="AA24" s="18" t="s">
        <v>130</v>
      </c>
      <c r="AB24" s="18" t="s">
        <v>209</v>
      </c>
      <c r="AC24" s="18" t="s">
        <v>210</v>
      </c>
      <c r="AD24" s="18" t="s">
        <v>137</v>
      </c>
      <c r="AE24" s="20" t="s">
        <v>130</v>
      </c>
    </row>
    <row r="25" ht="38" customHeight="1" spans="1:31">
      <c r="A25" s="17" t="s">
        <v>71</v>
      </c>
      <c r="B25" s="18" t="s">
        <v>39</v>
      </c>
      <c r="C25" s="18">
        <v>0</v>
      </c>
      <c r="D25" s="18" t="s">
        <v>48</v>
      </c>
      <c r="E25" s="18" t="s">
        <v>72</v>
      </c>
      <c r="F25" s="18" t="s">
        <v>41</v>
      </c>
      <c r="G25" s="18" t="s">
        <v>73</v>
      </c>
      <c r="H25" s="18" t="s">
        <v>74</v>
      </c>
      <c r="I25" s="18">
        <v>8</v>
      </c>
      <c r="J25" s="18" t="s">
        <v>45</v>
      </c>
      <c r="K25" s="18">
        <v>100</v>
      </c>
      <c r="L25" s="18">
        <v>0</v>
      </c>
      <c r="M25" s="18" t="s">
        <v>211</v>
      </c>
      <c r="N25" s="18" t="s">
        <v>129</v>
      </c>
      <c r="O25" s="18" t="s">
        <v>130</v>
      </c>
      <c r="P25" s="18">
        <v>1</v>
      </c>
      <c r="Q25" s="18">
        <v>1</v>
      </c>
      <c r="R25" s="18">
        <v>1</v>
      </c>
      <c r="S25" s="18" t="s">
        <v>131</v>
      </c>
      <c r="T25" s="18" t="s">
        <v>132</v>
      </c>
      <c r="U25" s="18">
        <v>1</v>
      </c>
      <c r="V25" s="18">
        <v>0</v>
      </c>
      <c r="W25" s="18">
        <v>0</v>
      </c>
      <c r="X25" s="18">
        <v>1</v>
      </c>
      <c r="Y25" s="19" t="s">
        <v>139</v>
      </c>
      <c r="Z25" s="19" t="s">
        <v>139</v>
      </c>
      <c r="AA25" s="18" t="s">
        <v>130</v>
      </c>
      <c r="AB25" s="18" t="s">
        <v>209</v>
      </c>
      <c r="AC25" s="18" t="s">
        <v>212</v>
      </c>
      <c r="AD25" s="18" t="s">
        <v>137</v>
      </c>
      <c r="AE25" s="20" t="s">
        <v>130</v>
      </c>
    </row>
    <row r="26" ht="38" customHeight="1" spans="1:31">
      <c r="A26" s="17" t="s">
        <v>71</v>
      </c>
      <c r="B26" s="18" t="s">
        <v>39</v>
      </c>
      <c r="C26" s="18">
        <v>0</v>
      </c>
      <c r="D26" s="18" t="s">
        <v>48</v>
      </c>
      <c r="E26" s="18" t="s">
        <v>72</v>
      </c>
      <c r="F26" s="18" t="s">
        <v>41</v>
      </c>
      <c r="G26" s="18" t="s">
        <v>73</v>
      </c>
      <c r="H26" s="18" t="s">
        <v>74</v>
      </c>
      <c r="I26" s="18">
        <v>8</v>
      </c>
      <c r="J26" s="18" t="s">
        <v>45</v>
      </c>
      <c r="K26" s="18">
        <v>100</v>
      </c>
      <c r="L26" s="18">
        <v>0</v>
      </c>
      <c r="M26" s="18" t="s">
        <v>213</v>
      </c>
      <c r="N26" s="18" t="s">
        <v>129</v>
      </c>
      <c r="O26" s="18" t="s">
        <v>130</v>
      </c>
      <c r="P26" s="18">
        <v>1</v>
      </c>
      <c r="Q26" s="18">
        <v>2</v>
      </c>
      <c r="R26" s="18">
        <v>1</v>
      </c>
      <c r="S26" s="18" t="s">
        <v>131</v>
      </c>
      <c r="T26" s="18" t="s">
        <v>132</v>
      </c>
      <c r="U26" s="18">
        <v>1</v>
      </c>
      <c r="V26" s="18">
        <v>0</v>
      </c>
      <c r="W26" s="18">
        <v>0</v>
      </c>
      <c r="X26" s="18">
        <v>1</v>
      </c>
      <c r="Y26" s="19" t="s">
        <v>139</v>
      </c>
      <c r="Z26" s="19" t="s">
        <v>139</v>
      </c>
      <c r="AA26" s="18" t="s">
        <v>130</v>
      </c>
      <c r="AB26" s="18" t="s">
        <v>209</v>
      </c>
      <c r="AC26" s="18" t="s">
        <v>214</v>
      </c>
      <c r="AD26" s="18" t="s">
        <v>137</v>
      </c>
      <c r="AE26" s="20" t="s">
        <v>130</v>
      </c>
    </row>
    <row r="27" ht="38" customHeight="1" spans="1:31">
      <c r="A27" s="17" t="s">
        <v>71</v>
      </c>
      <c r="B27" s="18" t="s">
        <v>39</v>
      </c>
      <c r="C27" s="18">
        <v>0</v>
      </c>
      <c r="D27" s="18" t="s">
        <v>48</v>
      </c>
      <c r="E27" s="18" t="s">
        <v>72</v>
      </c>
      <c r="F27" s="18" t="s">
        <v>41</v>
      </c>
      <c r="G27" s="18" t="s">
        <v>73</v>
      </c>
      <c r="H27" s="18" t="s">
        <v>74</v>
      </c>
      <c r="I27" s="18">
        <v>8</v>
      </c>
      <c r="J27" s="18" t="s">
        <v>45</v>
      </c>
      <c r="K27" s="18">
        <v>100</v>
      </c>
      <c r="L27" s="18">
        <v>0</v>
      </c>
      <c r="M27" s="18" t="s">
        <v>215</v>
      </c>
      <c r="N27" s="18" t="s">
        <v>129</v>
      </c>
      <c r="O27" s="18" t="s">
        <v>130</v>
      </c>
      <c r="P27" s="18">
        <v>1</v>
      </c>
      <c r="Q27" s="18">
        <v>3</v>
      </c>
      <c r="R27" s="18">
        <v>1</v>
      </c>
      <c r="S27" s="18" t="s">
        <v>131</v>
      </c>
      <c r="T27" s="18" t="s">
        <v>132</v>
      </c>
      <c r="U27" s="18">
        <v>1</v>
      </c>
      <c r="V27" s="18">
        <v>0</v>
      </c>
      <c r="W27" s="18">
        <v>0</v>
      </c>
      <c r="X27" s="18">
        <v>1</v>
      </c>
      <c r="Y27" s="19" t="s">
        <v>139</v>
      </c>
      <c r="Z27" s="19" t="s">
        <v>139</v>
      </c>
      <c r="AA27" s="18" t="s">
        <v>130</v>
      </c>
      <c r="AB27" s="18" t="s">
        <v>209</v>
      </c>
      <c r="AC27" s="18" t="s">
        <v>216</v>
      </c>
      <c r="AD27" s="18" t="s">
        <v>137</v>
      </c>
      <c r="AE27" s="20" t="s">
        <v>130</v>
      </c>
    </row>
    <row r="28" ht="38" customHeight="1" spans="1:31">
      <c r="A28" s="17" t="s">
        <v>71</v>
      </c>
      <c r="B28" s="18" t="s">
        <v>39</v>
      </c>
      <c r="C28" s="18">
        <v>0</v>
      </c>
      <c r="D28" s="18" t="s">
        <v>48</v>
      </c>
      <c r="E28" s="18" t="s">
        <v>72</v>
      </c>
      <c r="F28" s="18" t="s">
        <v>41</v>
      </c>
      <c r="G28" s="18" t="s">
        <v>73</v>
      </c>
      <c r="H28" s="18" t="s">
        <v>74</v>
      </c>
      <c r="I28" s="18">
        <v>8</v>
      </c>
      <c r="J28" s="18" t="s">
        <v>45</v>
      </c>
      <c r="K28" s="18">
        <v>100</v>
      </c>
      <c r="L28" s="18">
        <v>0</v>
      </c>
      <c r="M28" s="18" t="s">
        <v>217</v>
      </c>
      <c r="N28" s="18" t="s">
        <v>129</v>
      </c>
      <c r="O28" s="18" t="s">
        <v>130</v>
      </c>
      <c r="P28" s="18">
        <v>1</v>
      </c>
      <c r="Q28" s="18">
        <v>4</v>
      </c>
      <c r="R28" s="18">
        <v>1</v>
      </c>
      <c r="S28" s="18" t="s">
        <v>131</v>
      </c>
      <c r="T28" s="18" t="s">
        <v>132</v>
      </c>
      <c r="U28" s="18">
        <v>1</v>
      </c>
      <c r="V28" s="18">
        <v>0</v>
      </c>
      <c r="W28" s="18">
        <v>0</v>
      </c>
      <c r="X28" s="18">
        <v>1</v>
      </c>
      <c r="Y28" s="19" t="s">
        <v>139</v>
      </c>
      <c r="Z28" s="19" t="s">
        <v>139</v>
      </c>
      <c r="AA28" s="18" t="s">
        <v>130</v>
      </c>
      <c r="AB28" s="18" t="s">
        <v>218</v>
      </c>
      <c r="AC28" s="18" t="s">
        <v>219</v>
      </c>
      <c r="AD28" s="18" t="s">
        <v>137</v>
      </c>
      <c r="AE28" s="20" t="s">
        <v>130</v>
      </c>
    </row>
    <row r="29" ht="38" customHeight="1" spans="1:31">
      <c r="A29" s="17" t="s">
        <v>71</v>
      </c>
      <c r="B29" s="18" t="s">
        <v>39</v>
      </c>
      <c r="C29" s="18">
        <v>0</v>
      </c>
      <c r="D29" s="18" t="s">
        <v>48</v>
      </c>
      <c r="E29" s="18" t="s">
        <v>72</v>
      </c>
      <c r="F29" s="18" t="s">
        <v>41</v>
      </c>
      <c r="G29" s="18" t="s">
        <v>73</v>
      </c>
      <c r="H29" s="18" t="s">
        <v>74</v>
      </c>
      <c r="I29" s="18">
        <v>8</v>
      </c>
      <c r="J29" s="18" t="s">
        <v>45</v>
      </c>
      <c r="K29" s="18">
        <v>100</v>
      </c>
      <c r="L29" s="18">
        <v>0</v>
      </c>
      <c r="M29" s="18" t="s">
        <v>220</v>
      </c>
      <c r="N29" s="18" t="s">
        <v>129</v>
      </c>
      <c r="O29" s="18" t="s">
        <v>130</v>
      </c>
      <c r="P29" s="18">
        <v>2</v>
      </c>
      <c r="Q29" s="18">
        <v>0</v>
      </c>
      <c r="R29" s="18">
        <v>1</v>
      </c>
      <c r="S29" s="18" t="s">
        <v>131</v>
      </c>
      <c r="T29" s="18" t="s">
        <v>132</v>
      </c>
      <c r="U29" s="18">
        <v>1</v>
      </c>
      <c r="V29" s="18">
        <v>0</v>
      </c>
      <c r="W29" s="18">
        <v>0</v>
      </c>
      <c r="X29" s="18">
        <v>1</v>
      </c>
      <c r="Y29" s="19" t="s">
        <v>139</v>
      </c>
      <c r="Z29" s="19" t="s">
        <v>139</v>
      </c>
      <c r="AA29" s="18" t="s">
        <v>130</v>
      </c>
      <c r="AB29" s="18" t="s">
        <v>221</v>
      </c>
      <c r="AC29" s="18" t="s">
        <v>222</v>
      </c>
      <c r="AD29" s="18" t="s">
        <v>137</v>
      </c>
      <c r="AE29" s="20" t="s">
        <v>130</v>
      </c>
    </row>
    <row r="30" ht="38" customHeight="1" spans="1:31">
      <c r="A30" s="17" t="s">
        <v>71</v>
      </c>
      <c r="B30" s="18" t="s">
        <v>39</v>
      </c>
      <c r="C30" s="18">
        <v>0</v>
      </c>
      <c r="D30" s="18" t="s">
        <v>48</v>
      </c>
      <c r="E30" s="18" t="s">
        <v>72</v>
      </c>
      <c r="F30" s="18" t="s">
        <v>41</v>
      </c>
      <c r="G30" s="18" t="s">
        <v>73</v>
      </c>
      <c r="H30" s="18" t="s">
        <v>74</v>
      </c>
      <c r="I30" s="18">
        <v>8</v>
      </c>
      <c r="J30" s="18" t="s">
        <v>45</v>
      </c>
      <c r="K30" s="18">
        <v>100</v>
      </c>
      <c r="L30" s="18">
        <v>0</v>
      </c>
      <c r="M30" s="18" t="s">
        <v>223</v>
      </c>
      <c r="N30" s="18" t="s">
        <v>129</v>
      </c>
      <c r="O30" s="18" t="s">
        <v>130</v>
      </c>
      <c r="P30" s="18">
        <v>2</v>
      </c>
      <c r="Q30" s="18">
        <v>1</v>
      </c>
      <c r="R30" s="18">
        <v>1</v>
      </c>
      <c r="S30" s="18" t="s">
        <v>131</v>
      </c>
      <c r="T30" s="18" t="s">
        <v>132</v>
      </c>
      <c r="U30" s="18">
        <v>1</v>
      </c>
      <c r="V30" s="18">
        <v>0</v>
      </c>
      <c r="W30" s="18">
        <v>0</v>
      </c>
      <c r="X30" s="18">
        <v>1</v>
      </c>
      <c r="Y30" s="19" t="s">
        <v>139</v>
      </c>
      <c r="Z30" s="19" t="s">
        <v>139</v>
      </c>
      <c r="AA30" s="18" t="s">
        <v>130</v>
      </c>
      <c r="AB30" s="18" t="s">
        <v>221</v>
      </c>
      <c r="AC30" s="18" t="s">
        <v>224</v>
      </c>
      <c r="AD30" s="18" t="s">
        <v>137</v>
      </c>
      <c r="AE30" s="20" t="s">
        <v>130</v>
      </c>
    </row>
    <row r="31" ht="38" customHeight="1" spans="1:31">
      <c r="A31" s="17" t="s">
        <v>71</v>
      </c>
      <c r="B31" s="18" t="s">
        <v>39</v>
      </c>
      <c r="C31" s="18">
        <v>0</v>
      </c>
      <c r="D31" s="18" t="s">
        <v>48</v>
      </c>
      <c r="E31" s="18" t="s">
        <v>72</v>
      </c>
      <c r="F31" s="18" t="s">
        <v>41</v>
      </c>
      <c r="G31" s="18" t="s">
        <v>73</v>
      </c>
      <c r="H31" s="18" t="s">
        <v>74</v>
      </c>
      <c r="I31" s="18">
        <v>8</v>
      </c>
      <c r="J31" s="18" t="s">
        <v>45</v>
      </c>
      <c r="K31" s="18">
        <v>100</v>
      </c>
      <c r="L31" s="18">
        <v>0</v>
      </c>
      <c r="M31" s="18" t="s">
        <v>225</v>
      </c>
      <c r="N31" s="18" t="s">
        <v>129</v>
      </c>
      <c r="O31" s="18" t="s">
        <v>130</v>
      </c>
      <c r="P31" s="18">
        <v>2</v>
      </c>
      <c r="Q31" s="18">
        <v>2</v>
      </c>
      <c r="R31" s="18">
        <v>2</v>
      </c>
      <c r="S31" s="18" t="s">
        <v>131</v>
      </c>
      <c r="T31" s="18" t="s">
        <v>132</v>
      </c>
      <c r="U31" s="18">
        <v>1</v>
      </c>
      <c r="V31" s="18">
        <v>0</v>
      </c>
      <c r="W31" s="18">
        <v>0</v>
      </c>
      <c r="X31" s="18">
        <v>3</v>
      </c>
      <c r="Y31" s="19" t="s">
        <v>139</v>
      </c>
      <c r="Z31" s="19" t="s">
        <v>201</v>
      </c>
      <c r="AA31" s="18" t="s">
        <v>130</v>
      </c>
      <c r="AB31" s="18" t="s">
        <v>226</v>
      </c>
      <c r="AC31" s="18" t="s">
        <v>227</v>
      </c>
      <c r="AD31" s="18" t="s">
        <v>137</v>
      </c>
      <c r="AE31" s="20" t="s">
        <v>130</v>
      </c>
    </row>
    <row r="32" ht="38" customHeight="1" spans="1:31">
      <c r="A32" s="17" t="s">
        <v>71</v>
      </c>
      <c r="B32" s="18" t="s">
        <v>39</v>
      </c>
      <c r="C32" s="18">
        <v>0</v>
      </c>
      <c r="D32" s="18" t="s">
        <v>48</v>
      </c>
      <c r="E32" s="18" t="s">
        <v>72</v>
      </c>
      <c r="F32" s="18" t="s">
        <v>41</v>
      </c>
      <c r="G32" s="18" t="s">
        <v>73</v>
      </c>
      <c r="H32" s="18" t="s">
        <v>74</v>
      </c>
      <c r="I32" s="18">
        <v>8</v>
      </c>
      <c r="J32" s="18" t="s">
        <v>45</v>
      </c>
      <c r="K32" s="18">
        <v>100</v>
      </c>
      <c r="L32" s="18">
        <v>0</v>
      </c>
      <c r="M32" s="18" t="s">
        <v>228</v>
      </c>
      <c r="N32" s="18" t="s">
        <v>129</v>
      </c>
      <c r="O32" s="18" t="s">
        <v>130</v>
      </c>
      <c r="P32" s="18">
        <v>2</v>
      </c>
      <c r="Q32" s="18">
        <v>4</v>
      </c>
      <c r="R32" s="18">
        <v>1</v>
      </c>
      <c r="S32" s="18" t="s">
        <v>131</v>
      </c>
      <c r="T32" s="18" t="s">
        <v>132</v>
      </c>
      <c r="U32" s="18">
        <v>1</v>
      </c>
      <c r="V32" s="18">
        <v>0</v>
      </c>
      <c r="W32" s="18">
        <v>0</v>
      </c>
      <c r="X32" s="18">
        <v>1</v>
      </c>
      <c r="Y32" s="19" t="s">
        <v>139</v>
      </c>
      <c r="Z32" s="19" t="s">
        <v>139</v>
      </c>
      <c r="AA32" s="18" t="s">
        <v>130</v>
      </c>
      <c r="AB32" s="18" t="s">
        <v>229</v>
      </c>
      <c r="AC32" s="18" t="s">
        <v>230</v>
      </c>
      <c r="AD32" s="18" t="s">
        <v>137</v>
      </c>
      <c r="AE32" s="20" t="s">
        <v>130</v>
      </c>
    </row>
    <row r="33" ht="38" customHeight="1" spans="1:31">
      <c r="A33" s="17" t="s">
        <v>71</v>
      </c>
      <c r="B33" s="18" t="s">
        <v>39</v>
      </c>
      <c r="C33" s="18">
        <v>0</v>
      </c>
      <c r="D33" s="18" t="s">
        <v>48</v>
      </c>
      <c r="E33" s="18" t="s">
        <v>72</v>
      </c>
      <c r="F33" s="18" t="s">
        <v>41</v>
      </c>
      <c r="G33" s="18" t="s">
        <v>73</v>
      </c>
      <c r="H33" s="18" t="s">
        <v>74</v>
      </c>
      <c r="I33" s="18">
        <v>8</v>
      </c>
      <c r="J33" s="18" t="s">
        <v>45</v>
      </c>
      <c r="K33" s="18">
        <v>100</v>
      </c>
      <c r="L33" s="18">
        <v>0</v>
      </c>
      <c r="M33" s="18" t="s">
        <v>231</v>
      </c>
      <c r="N33" s="18" t="s">
        <v>129</v>
      </c>
      <c r="O33" s="18" t="s">
        <v>130</v>
      </c>
      <c r="P33" s="18">
        <v>3</v>
      </c>
      <c r="Q33" s="18">
        <v>0</v>
      </c>
      <c r="R33" s="18">
        <v>1</v>
      </c>
      <c r="S33" s="18" t="s">
        <v>131</v>
      </c>
      <c r="T33" s="18" t="s">
        <v>132</v>
      </c>
      <c r="U33" s="18">
        <v>1</v>
      </c>
      <c r="V33" s="18">
        <v>0</v>
      </c>
      <c r="W33" s="18">
        <v>0</v>
      </c>
      <c r="X33" s="18">
        <v>1</v>
      </c>
      <c r="Y33" s="19" t="s">
        <v>139</v>
      </c>
      <c r="Z33" s="19" t="s">
        <v>139</v>
      </c>
      <c r="AA33" s="18" t="s">
        <v>130</v>
      </c>
      <c r="AB33" s="18" t="s">
        <v>221</v>
      </c>
      <c r="AC33" s="18" t="s">
        <v>232</v>
      </c>
      <c r="AD33" s="18" t="s">
        <v>137</v>
      </c>
      <c r="AE33" s="20" t="s">
        <v>130</v>
      </c>
    </row>
    <row r="34" ht="38" customHeight="1" spans="1:31">
      <c r="A34" s="17" t="s">
        <v>71</v>
      </c>
      <c r="B34" s="18" t="s">
        <v>39</v>
      </c>
      <c r="C34" s="18">
        <v>0</v>
      </c>
      <c r="D34" s="18" t="s">
        <v>48</v>
      </c>
      <c r="E34" s="18" t="s">
        <v>72</v>
      </c>
      <c r="F34" s="18" t="s">
        <v>41</v>
      </c>
      <c r="G34" s="18" t="s">
        <v>73</v>
      </c>
      <c r="H34" s="18" t="s">
        <v>74</v>
      </c>
      <c r="I34" s="18">
        <v>8</v>
      </c>
      <c r="J34" s="18" t="s">
        <v>45</v>
      </c>
      <c r="K34" s="18">
        <v>100</v>
      </c>
      <c r="L34" s="18">
        <v>0</v>
      </c>
      <c r="M34" s="18" t="s">
        <v>233</v>
      </c>
      <c r="N34" s="18" t="s">
        <v>129</v>
      </c>
      <c r="O34" s="18" t="s">
        <v>130</v>
      </c>
      <c r="P34" s="18">
        <v>3</v>
      </c>
      <c r="Q34" s="18">
        <v>1</v>
      </c>
      <c r="R34" s="18">
        <v>1</v>
      </c>
      <c r="S34" s="18" t="s">
        <v>131</v>
      </c>
      <c r="T34" s="18" t="s">
        <v>132</v>
      </c>
      <c r="U34" s="18">
        <v>1</v>
      </c>
      <c r="V34" s="18">
        <v>0</v>
      </c>
      <c r="W34" s="18">
        <v>0</v>
      </c>
      <c r="X34" s="18">
        <v>1</v>
      </c>
      <c r="Y34" s="19" t="s">
        <v>139</v>
      </c>
      <c r="Z34" s="19" t="s">
        <v>139</v>
      </c>
      <c r="AA34" s="18" t="s">
        <v>130</v>
      </c>
      <c r="AB34" s="18" t="s">
        <v>221</v>
      </c>
      <c r="AC34" s="18" t="s">
        <v>234</v>
      </c>
      <c r="AD34" s="18" t="s">
        <v>137</v>
      </c>
      <c r="AE34" s="20" t="s">
        <v>130</v>
      </c>
    </row>
    <row r="35" ht="38" customHeight="1" spans="1:31">
      <c r="A35" s="17" t="s">
        <v>71</v>
      </c>
      <c r="B35" s="18" t="s">
        <v>39</v>
      </c>
      <c r="C35" s="18">
        <v>0</v>
      </c>
      <c r="D35" s="18" t="s">
        <v>48</v>
      </c>
      <c r="E35" s="18" t="s">
        <v>72</v>
      </c>
      <c r="F35" s="18" t="s">
        <v>41</v>
      </c>
      <c r="G35" s="18" t="s">
        <v>73</v>
      </c>
      <c r="H35" s="18" t="s">
        <v>74</v>
      </c>
      <c r="I35" s="18">
        <v>8</v>
      </c>
      <c r="J35" s="18" t="s">
        <v>45</v>
      </c>
      <c r="K35" s="18">
        <v>100</v>
      </c>
      <c r="L35" s="18">
        <v>0</v>
      </c>
      <c r="M35" s="18" t="s">
        <v>235</v>
      </c>
      <c r="N35" s="18" t="s">
        <v>129</v>
      </c>
      <c r="O35" s="18" t="s">
        <v>130</v>
      </c>
      <c r="P35" s="18">
        <v>3</v>
      </c>
      <c r="Q35" s="18">
        <v>2</v>
      </c>
      <c r="R35" s="18">
        <v>1</v>
      </c>
      <c r="S35" s="18" t="s">
        <v>131</v>
      </c>
      <c r="T35" s="18" t="s">
        <v>132</v>
      </c>
      <c r="U35" s="18">
        <v>1</v>
      </c>
      <c r="V35" s="18">
        <v>0</v>
      </c>
      <c r="W35" s="18">
        <v>0</v>
      </c>
      <c r="X35" s="18">
        <v>1</v>
      </c>
      <c r="Y35" s="19" t="s">
        <v>139</v>
      </c>
      <c r="Z35" s="19" t="s">
        <v>139</v>
      </c>
      <c r="AA35" s="18" t="s">
        <v>130</v>
      </c>
      <c r="AB35" s="18" t="s">
        <v>221</v>
      </c>
      <c r="AC35" s="18" t="s">
        <v>236</v>
      </c>
      <c r="AD35" s="18" t="s">
        <v>137</v>
      </c>
      <c r="AE35" s="20" t="s">
        <v>130</v>
      </c>
    </row>
    <row r="36" ht="38" customHeight="1" spans="1:31">
      <c r="A36" s="17" t="s">
        <v>71</v>
      </c>
      <c r="B36" s="18" t="s">
        <v>39</v>
      </c>
      <c r="C36" s="18">
        <v>0</v>
      </c>
      <c r="D36" s="18" t="s">
        <v>48</v>
      </c>
      <c r="E36" s="18" t="s">
        <v>72</v>
      </c>
      <c r="F36" s="18" t="s">
        <v>41</v>
      </c>
      <c r="G36" s="18" t="s">
        <v>73</v>
      </c>
      <c r="H36" s="18" t="s">
        <v>74</v>
      </c>
      <c r="I36" s="18">
        <v>8</v>
      </c>
      <c r="J36" s="18" t="s">
        <v>45</v>
      </c>
      <c r="K36" s="18">
        <v>100</v>
      </c>
      <c r="L36" s="18">
        <v>0</v>
      </c>
      <c r="M36" s="18" t="s">
        <v>237</v>
      </c>
      <c r="N36" s="18" t="s">
        <v>129</v>
      </c>
      <c r="O36" s="18" t="s">
        <v>130</v>
      </c>
      <c r="P36" s="18">
        <v>3</v>
      </c>
      <c r="Q36" s="18">
        <v>3</v>
      </c>
      <c r="R36" s="18">
        <v>1</v>
      </c>
      <c r="S36" s="18" t="s">
        <v>131</v>
      </c>
      <c r="T36" s="18" t="s">
        <v>132</v>
      </c>
      <c r="U36" s="18">
        <v>1</v>
      </c>
      <c r="V36" s="18">
        <v>0</v>
      </c>
      <c r="W36" s="18">
        <v>0</v>
      </c>
      <c r="X36" s="18">
        <v>1</v>
      </c>
      <c r="Y36" s="19" t="s">
        <v>139</v>
      </c>
      <c r="Z36" s="19" t="s">
        <v>139</v>
      </c>
      <c r="AA36" s="18" t="s">
        <v>130</v>
      </c>
      <c r="AB36" s="18" t="s">
        <v>221</v>
      </c>
      <c r="AC36" s="18" t="s">
        <v>238</v>
      </c>
      <c r="AD36" s="18" t="s">
        <v>137</v>
      </c>
      <c r="AE36" s="20" t="s">
        <v>130</v>
      </c>
    </row>
    <row r="37" ht="38" customHeight="1" spans="1:31">
      <c r="A37" s="17" t="s">
        <v>71</v>
      </c>
      <c r="B37" s="18" t="s">
        <v>39</v>
      </c>
      <c r="C37" s="18">
        <v>0</v>
      </c>
      <c r="D37" s="18" t="s">
        <v>48</v>
      </c>
      <c r="E37" s="18" t="s">
        <v>72</v>
      </c>
      <c r="F37" s="18" t="s">
        <v>41</v>
      </c>
      <c r="G37" s="18" t="s">
        <v>73</v>
      </c>
      <c r="H37" s="18" t="s">
        <v>74</v>
      </c>
      <c r="I37" s="18">
        <v>8</v>
      </c>
      <c r="J37" s="18" t="s">
        <v>45</v>
      </c>
      <c r="K37" s="18">
        <v>100</v>
      </c>
      <c r="L37" s="18">
        <v>0</v>
      </c>
      <c r="M37" s="18" t="s">
        <v>239</v>
      </c>
      <c r="N37" s="18" t="s">
        <v>129</v>
      </c>
      <c r="O37" s="18" t="s">
        <v>130</v>
      </c>
      <c r="P37" s="18">
        <v>4</v>
      </c>
      <c r="Q37" s="18">
        <v>0</v>
      </c>
      <c r="R37" s="18">
        <v>1</v>
      </c>
      <c r="S37" s="18" t="s">
        <v>131</v>
      </c>
      <c r="T37" s="18" t="s">
        <v>132</v>
      </c>
      <c r="U37" s="18">
        <v>1</v>
      </c>
      <c r="V37" s="18">
        <v>0</v>
      </c>
      <c r="W37" s="18">
        <v>0</v>
      </c>
      <c r="X37" s="18">
        <v>1</v>
      </c>
      <c r="Y37" s="19" t="s">
        <v>139</v>
      </c>
      <c r="Z37" s="19" t="s">
        <v>139</v>
      </c>
      <c r="AA37" s="18" t="s">
        <v>130</v>
      </c>
      <c r="AB37" s="18" t="s">
        <v>240</v>
      </c>
      <c r="AC37" s="18" t="s">
        <v>241</v>
      </c>
      <c r="AD37" s="18" t="s">
        <v>137</v>
      </c>
      <c r="AE37" s="20" t="s">
        <v>130</v>
      </c>
    </row>
    <row r="38" ht="38" customHeight="1" spans="1:31">
      <c r="A38" s="17" t="s">
        <v>71</v>
      </c>
      <c r="B38" s="18" t="s">
        <v>39</v>
      </c>
      <c r="C38" s="18">
        <v>0</v>
      </c>
      <c r="D38" s="18" t="s">
        <v>48</v>
      </c>
      <c r="E38" s="18" t="s">
        <v>72</v>
      </c>
      <c r="F38" s="18" t="s">
        <v>41</v>
      </c>
      <c r="G38" s="18" t="s">
        <v>73</v>
      </c>
      <c r="H38" s="18" t="s">
        <v>74</v>
      </c>
      <c r="I38" s="18">
        <v>8</v>
      </c>
      <c r="J38" s="18" t="s">
        <v>45</v>
      </c>
      <c r="K38" s="18">
        <v>100</v>
      </c>
      <c r="L38" s="18">
        <v>0</v>
      </c>
      <c r="M38" s="18" t="s">
        <v>242</v>
      </c>
      <c r="N38" s="18" t="s">
        <v>129</v>
      </c>
      <c r="O38" s="18" t="s">
        <v>130</v>
      </c>
      <c r="P38" s="18">
        <v>5</v>
      </c>
      <c r="Q38" s="18">
        <v>0</v>
      </c>
      <c r="R38" s="18">
        <v>8</v>
      </c>
      <c r="S38" s="18" t="s">
        <v>131</v>
      </c>
      <c r="T38" s="18" t="s">
        <v>132</v>
      </c>
      <c r="U38" s="18">
        <v>1</v>
      </c>
      <c r="V38" s="18">
        <v>0</v>
      </c>
      <c r="W38" s="18">
        <v>0</v>
      </c>
      <c r="X38" s="18">
        <v>100</v>
      </c>
      <c r="Y38" s="19" t="s">
        <v>243</v>
      </c>
      <c r="Z38" s="19" t="s">
        <v>134</v>
      </c>
      <c r="AA38" s="18" t="s">
        <v>186</v>
      </c>
      <c r="AB38" s="18" t="s">
        <v>130</v>
      </c>
      <c r="AC38" s="18" t="s">
        <v>244</v>
      </c>
      <c r="AD38" s="18" t="s">
        <v>137</v>
      </c>
      <c r="AE38" s="20" t="s">
        <v>130</v>
      </c>
    </row>
    <row r="39" ht="38" customHeight="1" spans="1:31">
      <c r="A39" s="13" t="s">
        <v>76</v>
      </c>
      <c r="B39" s="14" t="s">
        <v>39</v>
      </c>
      <c r="C39" s="14">
        <v>0</v>
      </c>
      <c r="D39" s="14" t="s">
        <v>48</v>
      </c>
      <c r="E39" s="14" t="s">
        <v>77</v>
      </c>
      <c r="F39" s="14" t="s">
        <v>41</v>
      </c>
      <c r="G39" s="14" t="s">
        <v>78</v>
      </c>
      <c r="H39" s="14" t="s">
        <v>74</v>
      </c>
      <c r="I39" s="14">
        <v>8</v>
      </c>
      <c r="J39" s="14" t="s">
        <v>69</v>
      </c>
      <c r="K39" s="14">
        <v>1000</v>
      </c>
      <c r="L39" s="14">
        <v>0</v>
      </c>
      <c r="M39" s="14" t="s">
        <v>245</v>
      </c>
      <c r="N39" s="14" t="s">
        <v>129</v>
      </c>
      <c r="O39" s="14" t="s">
        <v>130</v>
      </c>
      <c r="P39" s="14">
        <v>0</v>
      </c>
      <c r="Q39" s="14">
        <v>0</v>
      </c>
      <c r="R39" s="14">
        <v>8</v>
      </c>
      <c r="S39" s="14" t="s">
        <v>131</v>
      </c>
      <c r="T39" s="14" t="s">
        <v>132</v>
      </c>
      <c r="U39" s="14">
        <v>0.0275</v>
      </c>
      <c r="V39" s="14">
        <v>0</v>
      </c>
      <c r="W39" s="14">
        <v>0</v>
      </c>
      <c r="X39" s="14">
        <v>3.5</v>
      </c>
      <c r="Y39" s="15" t="s">
        <v>165</v>
      </c>
      <c r="Z39" s="15" t="s">
        <v>134</v>
      </c>
      <c r="AA39" s="14" t="s">
        <v>246</v>
      </c>
      <c r="AB39" s="14" t="s">
        <v>130</v>
      </c>
      <c r="AC39" s="14" t="s">
        <v>247</v>
      </c>
      <c r="AD39" s="14" t="s">
        <v>137</v>
      </c>
      <c r="AE39" s="16" t="s">
        <v>130</v>
      </c>
    </row>
    <row r="40" ht="38" customHeight="1" spans="1:31">
      <c r="A40" s="17" t="s">
        <v>76</v>
      </c>
      <c r="B40" s="18" t="s">
        <v>39</v>
      </c>
      <c r="C40" s="18">
        <v>0</v>
      </c>
      <c r="D40" s="18" t="s">
        <v>48</v>
      </c>
      <c r="E40" s="18" t="s">
        <v>77</v>
      </c>
      <c r="F40" s="18" t="s">
        <v>41</v>
      </c>
      <c r="G40" s="18" t="s">
        <v>78</v>
      </c>
      <c r="H40" s="18" t="s">
        <v>74</v>
      </c>
      <c r="I40" s="18">
        <v>8</v>
      </c>
      <c r="J40" s="18" t="s">
        <v>69</v>
      </c>
      <c r="K40" s="18">
        <v>1000</v>
      </c>
      <c r="L40" s="18">
        <v>0</v>
      </c>
      <c r="M40" s="18" t="s">
        <v>248</v>
      </c>
      <c r="N40" s="18" t="s">
        <v>129</v>
      </c>
      <c r="O40" s="18" t="s">
        <v>130</v>
      </c>
      <c r="P40" s="18">
        <v>1</v>
      </c>
      <c r="Q40" s="18">
        <v>0</v>
      </c>
      <c r="R40" s="18">
        <v>8</v>
      </c>
      <c r="S40" s="18" t="s">
        <v>131</v>
      </c>
      <c r="T40" s="18" t="s">
        <v>132</v>
      </c>
      <c r="U40" s="18">
        <v>0.0275</v>
      </c>
      <c r="V40" s="18">
        <v>0</v>
      </c>
      <c r="W40" s="18">
        <v>0</v>
      </c>
      <c r="X40" s="18">
        <v>3.5</v>
      </c>
      <c r="Y40" s="19" t="s">
        <v>165</v>
      </c>
      <c r="Z40" s="19" t="s">
        <v>134</v>
      </c>
      <c r="AA40" s="18" t="s">
        <v>246</v>
      </c>
      <c r="AB40" s="18" t="s">
        <v>130</v>
      </c>
      <c r="AC40" s="18" t="s">
        <v>249</v>
      </c>
      <c r="AD40" s="18" t="s">
        <v>137</v>
      </c>
      <c r="AE40" s="20" t="s">
        <v>130</v>
      </c>
    </row>
    <row r="41" ht="38" customHeight="1" spans="1:31">
      <c r="A41" s="17" t="s">
        <v>76</v>
      </c>
      <c r="B41" s="18" t="s">
        <v>39</v>
      </c>
      <c r="C41" s="18">
        <v>0</v>
      </c>
      <c r="D41" s="18" t="s">
        <v>48</v>
      </c>
      <c r="E41" s="18" t="s">
        <v>77</v>
      </c>
      <c r="F41" s="18" t="s">
        <v>41</v>
      </c>
      <c r="G41" s="18" t="s">
        <v>78</v>
      </c>
      <c r="H41" s="18" t="s">
        <v>74</v>
      </c>
      <c r="I41" s="18">
        <v>8</v>
      </c>
      <c r="J41" s="18" t="s">
        <v>69</v>
      </c>
      <c r="K41" s="18">
        <v>1000</v>
      </c>
      <c r="L41" s="18">
        <v>0</v>
      </c>
      <c r="M41" s="18" t="s">
        <v>250</v>
      </c>
      <c r="N41" s="18" t="s">
        <v>129</v>
      </c>
      <c r="O41" s="18" t="s">
        <v>130</v>
      </c>
      <c r="P41" s="18">
        <v>2</v>
      </c>
      <c r="Q41" s="18">
        <v>0</v>
      </c>
      <c r="R41" s="18">
        <v>8</v>
      </c>
      <c r="S41" s="18" t="s">
        <v>131</v>
      </c>
      <c r="T41" s="18" t="s">
        <v>132</v>
      </c>
      <c r="U41" s="18">
        <v>0.0275</v>
      </c>
      <c r="V41" s="18">
        <v>0</v>
      </c>
      <c r="W41" s="18">
        <v>0</v>
      </c>
      <c r="X41" s="18">
        <v>3.5</v>
      </c>
      <c r="Y41" s="19" t="s">
        <v>165</v>
      </c>
      <c r="Z41" s="19" t="s">
        <v>134</v>
      </c>
      <c r="AA41" s="18" t="s">
        <v>246</v>
      </c>
      <c r="AB41" s="18" t="s">
        <v>130</v>
      </c>
      <c r="AC41" s="18" t="s">
        <v>251</v>
      </c>
      <c r="AD41" s="18" t="s">
        <v>137</v>
      </c>
      <c r="AE41" s="20" t="s">
        <v>130</v>
      </c>
    </row>
    <row r="42" ht="38" customHeight="1" spans="1:31">
      <c r="A42" s="17" t="s">
        <v>76</v>
      </c>
      <c r="B42" s="18" t="s">
        <v>39</v>
      </c>
      <c r="C42" s="18">
        <v>0</v>
      </c>
      <c r="D42" s="18" t="s">
        <v>48</v>
      </c>
      <c r="E42" s="18" t="s">
        <v>77</v>
      </c>
      <c r="F42" s="18" t="s">
        <v>41</v>
      </c>
      <c r="G42" s="18" t="s">
        <v>78</v>
      </c>
      <c r="H42" s="18" t="s">
        <v>74</v>
      </c>
      <c r="I42" s="18">
        <v>8</v>
      </c>
      <c r="J42" s="18" t="s">
        <v>69</v>
      </c>
      <c r="K42" s="18">
        <v>1000</v>
      </c>
      <c r="L42" s="18">
        <v>0</v>
      </c>
      <c r="M42" s="18" t="s">
        <v>252</v>
      </c>
      <c r="N42" s="18" t="s">
        <v>129</v>
      </c>
      <c r="O42" s="18" t="s">
        <v>130</v>
      </c>
      <c r="P42" s="18">
        <v>3</v>
      </c>
      <c r="Q42" s="18">
        <v>0</v>
      </c>
      <c r="R42" s="18">
        <v>8</v>
      </c>
      <c r="S42" s="18" t="s">
        <v>131</v>
      </c>
      <c r="T42" s="18" t="s">
        <v>132</v>
      </c>
      <c r="U42" s="18">
        <v>0.0275</v>
      </c>
      <c r="V42" s="18">
        <v>0</v>
      </c>
      <c r="W42" s="18">
        <v>0</v>
      </c>
      <c r="X42" s="18">
        <v>3.5</v>
      </c>
      <c r="Y42" s="19" t="s">
        <v>165</v>
      </c>
      <c r="Z42" s="19" t="s">
        <v>134</v>
      </c>
      <c r="AA42" s="18" t="s">
        <v>246</v>
      </c>
      <c r="AB42" s="18" t="s">
        <v>130</v>
      </c>
      <c r="AC42" s="18" t="s">
        <v>253</v>
      </c>
      <c r="AD42" s="18" t="s">
        <v>137</v>
      </c>
      <c r="AE42" s="20" t="s">
        <v>130</v>
      </c>
    </row>
    <row r="43" ht="38" customHeight="1" spans="1:31">
      <c r="A43" s="17" t="s">
        <v>76</v>
      </c>
      <c r="B43" s="18" t="s">
        <v>39</v>
      </c>
      <c r="C43" s="18">
        <v>0</v>
      </c>
      <c r="D43" s="18" t="s">
        <v>48</v>
      </c>
      <c r="E43" s="18" t="s">
        <v>77</v>
      </c>
      <c r="F43" s="18" t="s">
        <v>41</v>
      </c>
      <c r="G43" s="18" t="s">
        <v>78</v>
      </c>
      <c r="H43" s="18" t="s">
        <v>74</v>
      </c>
      <c r="I43" s="18">
        <v>8</v>
      </c>
      <c r="J43" s="18" t="s">
        <v>69</v>
      </c>
      <c r="K43" s="18">
        <v>1000</v>
      </c>
      <c r="L43" s="18">
        <v>0</v>
      </c>
      <c r="M43" s="18" t="s">
        <v>254</v>
      </c>
      <c r="N43" s="18" t="s">
        <v>129</v>
      </c>
      <c r="O43" s="18" t="s">
        <v>130</v>
      </c>
      <c r="P43" s="18">
        <v>4</v>
      </c>
      <c r="Q43" s="18">
        <v>0</v>
      </c>
      <c r="R43" s="18">
        <v>8</v>
      </c>
      <c r="S43" s="18" t="s">
        <v>131</v>
      </c>
      <c r="T43" s="18" t="s">
        <v>190</v>
      </c>
      <c r="U43" s="18">
        <v>1</v>
      </c>
      <c r="V43" s="18">
        <v>-40</v>
      </c>
      <c r="W43" s="18">
        <v>-40</v>
      </c>
      <c r="X43" s="18">
        <v>125</v>
      </c>
      <c r="Y43" s="19" t="s">
        <v>191</v>
      </c>
      <c r="Z43" s="19" t="s">
        <v>134</v>
      </c>
      <c r="AA43" s="18" t="s">
        <v>192</v>
      </c>
      <c r="AB43" s="18" t="s">
        <v>130</v>
      </c>
      <c r="AC43" s="18" t="s">
        <v>255</v>
      </c>
      <c r="AD43" s="18" t="s">
        <v>137</v>
      </c>
      <c r="AE43" s="20" t="s">
        <v>130</v>
      </c>
    </row>
    <row r="44" ht="38" customHeight="1" spans="1:31">
      <c r="A44" s="17" t="s">
        <v>76</v>
      </c>
      <c r="B44" s="18" t="s">
        <v>39</v>
      </c>
      <c r="C44" s="18">
        <v>0</v>
      </c>
      <c r="D44" s="18" t="s">
        <v>48</v>
      </c>
      <c r="E44" s="18" t="s">
        <v>77</v>
      </c>
      <c r="F44" s="18" t="s">
        <v>41</v>
      </c>
      <c r="G44" s="18" t="s">
        <v>78</v>
      </c>
      <c r="H44" s="18" t="s">
        <v>74</v>
      </c>
      <c r="I44" s="18">
        <v>8</v>
      </c>
      <c r="J44" s="18" t="s">
        <v>69</v>
      </c>
      <c r="K44" s="18">
        <v>1000</v>
      </c>
      <c r="L44" s="18">
        <v>0</v>
      </c>
      <c r="M44" s="18" t="s">
        <v>256</v>
      </c>
      <c r="N44" s="18" t="s">
        <v>129</v>
      </c>
      <c r="O44" s="18" t="s">
        <v>130</v>
      </c>
      <c r="P44" s="18">
        <v>5</v>
      </c>
      <c r="Q44" s="18">
        <v>0</v>
      </c>
      <c r="R44" s="18">
        <v>8</v>
      </c>
      <c r="S44" s="18" t="s">
        <v>131</v>
      </c>
      <c r="T44" s="18" t="s">
        <v>190</v>
      </c>
      <c r="U44" s="18">
        <v>1</v>
      </c>
      <c r="V44" s="18">
        <v>-40</v>
      </c>
      <c r="W44" s="18">
        <v>-40</v>
      </c>
      <c r="X44" s="18">
        <v>125</v>
      </c>
      <c r="Y44" s="19" t="s">
        <v>191</v>
      </c>
      <c r="Z44" s="19" t="s">
        <v>134</v>
      </c>
      <c r="AA44" s="18" t="s">
        <v>192</v>
      </c>
      <c r="AB44" s="18" t="s">
        <v>130</v>
      </c>
      <c r="AC44" s="18" t="s">
        <v>257</v>
      </c>
      <c r="AD44" s="18" t="s">
        <v>137</v>
      </c>
      <c r="AE44" s="20" t="s">
        <v>130</v>
      </c>
    </row>
    <row r="45" ht="38" customHeight="1" spans="1:31">
      <c r="A45" s="17" t="s">
        <v>76</v>
      </c>
      <c r="B45" s="18" t="s">
        <v>39</v>
      </c>
      <c r="C45" s="18">
        <v>0</v>
      </c>
      <c r="D45" s="18" t="s">
        <v>48</v>
      </c>
      <c r="E45" s="18" t="s">
        <v>77</v>
      </c>
      <c r="F45" s="18" t="s">
        <v>41</v>
      </c>
      <c r="G45" s="18" t="s">
        <v>78</v>
      </c>
      <c r="H45" s="18" t="s">
        <v>74</v>
      </c>
      <c r="I45" s="18">
        <v>8</v>
      </c>
      <c r="J45" s="18" t="s">
        <v>69</v>
      </c>
      <c r="K45" s="18">
        <v>1000</v>
      </c>
      <c r="L45" s="18">
        <v>0</v>
      </c>
      <c r="M45" s="18" t="s">
        <v>258</v>
      </c>
      <c r="N45" s="18" t="s">
        <v>129</v>
      </c>
      <c r="O45" s="18" t="s">
        <v>130</v>
      </c>
      <c r="P45" s="18">
        <v>6</v>
      </c>
      <c r="Q45" s="18">
        <v>0</v>
      </c>
      <c r="R45" s="18">
        <v>8</v>
      </c>
      <c r="S45" s="18" t="s">
        <v>131</v>
      </c>
      <c r="T45" s="18" t="s">
        <v>190</v>
      </c>
      <c r="U45" s="18">
        <v>1</v>
      </c>
      <c r="V45" s="18">
        <v>-40</v>
      </c>
      <c r="W45" s="18">
        <v>-40</v>
      </c>
      <c r="X45" s="18">
        <v>125</v>
      </c>
      <c r="Y45" s="19" t="s">
        <v>191</v>
      </c>
      <c r="Z45" s="19" t="s">
        <v>134</v>
      </c>
      <c r="AA45" s="18" t="s">
        <v>192</v>
      </c>
      <c r="AB45" s="18" t="s">
        <v>130</v>
      </c>
      <c r="AC45" s="18" t="s">
        <v>259</v>
      </c>
      <c r="AD45" s="18" t="s">
        <v>137</v>
      </c>
      <c r="AE45" s="20" t="s">
        <v>130</v>
      </c>
    </row>
    <row r="46" ht="38" customHeight="1" spans="1:31">
      <c r="A46" s="17" t="s">
        <v>76</v>
      </c>
      <c r="B46" s="18" t="s">
        <v>39</v>
      </c>
      <c r="C46" s="18">
        <v>0</v>
      </c>
      <c r="D46" s="18" t="s">
        <v>48</v>
      </c>
      <c r="E46" s="18" t="s">
        <v>77</v>
      </c>
      <c r="F46" s="18" t="s">
        <v>41</v>
      </c>
      <c r="G46" s="18" t="s">
        <v>78</v>
      </c>
      <c r="H46" s="18" t="s">
        <v>74</v>
      </c>
      <c r="I46" s="18">
        <v>8</v>
      </c>
      <c r="J46" s="18" t="s">
        <v>69</v>
      </c>
      <c r="K46" s="18">
        <v>1000</v>
      </c>
      <c r="L46" s="18">
        <v>0</v>
      </c>
      <c r="M46" s="18" t="s">
        <v>260</v>
      </c>
      <c r="N46" s="18" t="s">
        <v>129</v>
      </c>
      <c r="O46" s="18" t="s">
        <v>130</v>
      </c>
      <c r="P46" s="18">
        <v>7</v>
      </c>
      <c r="Q46" s="18">
        <v>0</v>
      </c>
      <c r="R46" s="18">
        <v>8</v>
      </c>
      <c r="S46" s="18" t="s">
        <v>131</v>
      </c>
      <c r="T46" s="18" t="s">
        <v>190</v>
      </c>
      <c r="U46" s="18">
        <v>1</v>
      </c>
      <c r="V46" s="18">
        <v>-40</v>
      </c>
      <c r="W46" s="18">
        <v>-40</v>
      </c>
      <c r="X46" s="18">
        <v>125</v>
      </c>
      <c r="Y46" s="19" t="s">
        <v>191</v>
      </c>
      <c r="Z46" s="19" t="s">
        <v>134</v>
      </c>
      <c r="AA46" s="18" t="s">
        <v>192</v>
      </c>
      <c r="AB46" s="18" t="s">
        <v>130</v>
      </c>
      <c r="AC46" s="18" t="s">
        <v>261</v>
      </c>
      <c r="AD46" s="18" t="s">
        <v>137</v>
      </c>
      <c r="AE46" s="20" t="s">
        <v>130</v>
      </c>
    </row>
    <row r="47" ht="38" customHeight="1" spans="1:31">
      <c r="A47" s="13" t="s">
        <v>80</v>
      </c>
      <c r="B47" s="14" t="s">
        <v>39</v>
      </c>
      <c r="C47" s="14">
        <v>0</v>
      </c>
      <c r="D47" s="14" t="s">
        <v>48</v>
      </c>
      <c r="E47" s="14" t="s">
        <v>81</v>
      </c>
      <c r="F47" s="14" t="s">
        <v>41</v>
      </c>
      <c r="G47" s="14" t="s">
        <v>82</v>
      </c>
      <c r="H47" s="14" t="s">
        <v>74</v>
      </c>
      <c r="I47" s="14">
        <v>8</v>
      </c>
      <c r="J47" s="14" t="s">
        <v>45</v>
      </c>
      <c r="K47" s="14">
        <v>500</v>
      </c>
      <c r="L47" s="14">
        <v>0</v>
      </c>
      <c r="M47" s="14" t="s">
        <v>262</v>
      </c>
      <c r="N47" s="14" t="s">
        <v>129</v>
      </c>
      <c r="O47" s="14" t="s">
        <v>130</v>
      </c>
      <c r="P47" s="14">
        <v>0</v>
      </c>
      <c r="Q47" s="14">
        <v>0</v>
      </c>
      <c r="R47" s="14">
        <v>3</v>
      </c>
      <c r="S47" s="14" t="s">
        <v>131</v>
      </c>
      <c r="T47" s="14" t="s">
        <v>132</v>
      </c>
      <c r="U47" s="14">
        <v>1</v>
      </c>
      <c r="V47" s="14">
        <v>0</v>
      </c>
      <c r="W47" s="14">
        <v>0</v>
      </c>
      <c r="X47" s="14">
        <v>7</v>
      </c>
      <c r="Y47" s="15" t="s">
        <v>139</v>
      </c>
      <c r="Z47" s="15" t="s">
        <v>149</v>
      </c>
      <c r="AA47" s="14" t="s">
        <v>130</v>
      </c>
      <c r="AB47" s="14" t="s">
        <v>263</v>
      </c>
      <c r="AC47" s="14" t="s">
        <v>264</v>
      </c>
      <c r="AD47" s="14" t="s">
        <v>137</v>
      </c>
      <c r="AE47" s="16" t="s">
        <v>130</v>
      </c>
    </row>
    <row r="48" ht="38" customHeight="1" spans="1:31">
      <c r="A48" s="17" t="s">
        <v>80</v>
      </c>
      <c r="B48" s="18" t="s">
        <v>39</v>
      </c>
      <c r="C48" s="18">
        <v>0</v>
      </c>
      <c r="D48" s="18" t="s">
        <v>48</v>
      </c>
      <c r="E48" s="18" t="s">
        <v>81</v>
      </c>
      <c r="F48" s="18" t="s">
        <v>41</v>
      </c>
      <c r="G48" s="18" t="s">
        <v>82</v>
      </c>
      <c r="H48" s="18" t="s">
        <v>74</v>
      </c>
      <c r="I48" s="18">
        <v>8</v>
      </c>
      <c r="J48" s="18" t="s">
        <v>45</v>
      </c>
      <c r="K48" s="18">
        <v>500</v>
      </c>
      <c r="L48" s="18">
        <v>0</v>
      </c>
      <c r="M48" s="18" t="s">
        <v>265</v>
      </c>
      <c r="N48" s="18" t="s">
        <v>129</v>
      </c>
      <c r="O48" s="18" t="s">
        <v>130</v>
      </c>
      <c r="P48" s="18">
        <v>0</v>
      </c>
      <c r="Q48" s="18">
        <v>3</v>
      </c>
      <c r="R48" s="18">
        <v>3</v>
      </c>
      <c r="S48" s="18" t="s">
        <v>131</v>
      </c>
      <c r="T48" s="18" t="s">
        <v>132</v>
      </c>
      <c r="U48" s="18">
        <v>1</v>
      </c>
      <c r="V48" s="18">
        <v>0</v>
      </c>
      <c r="W48" s="18">
        <v>0</v>
      </c>
      <c r="X48" s="18">
        <v>7</v>
      </c>
      <c r="Y48" s="19" t="s">
        <v>139</v>
      </c>
      <c r="Z48" s="19" t="s">
        <v>149</v>
      </c>
      <c r="AA48" s="18" t="s">
        <v>130</v>
      </c>
      <c r="AB48" s="18" t="s">
        <v>266</v>
      </c>
      <c r="AC48" s="18" t="s">
        <v>267</v>
      </c>
      <c r="AD48" s="18" t="s">
        <v>137</v>
      </c>
      <c r="AE48" s="20" t="s">
        <v>130</v>
      </c>
    </row>
    <row r="49" ht="38" customHeight="1" spans="1:31">
      <c r="A49" s="17" t="s">
        <v>80</v>
      </c>
      <c r="B49" s="18" t="s">
        <v>39</v>
      </c>
      <c r="C49" s="18">
        <v>0</v>
      </c>
      <c r="D49" s="18" t="s">
        <v>48</v>
      </c>
      <c r="E49" s="18" t="s">
        <v>81</v>
      </c>
      <c r="F49" s="18" t="s">
        <v>41</v>
      </c>
      <c r="G49" s="18" t="s">
        <v>82</v>
      </c>
      <c r="H49" s="18" t="s">
        <v>74</v>
      </c>
      <c r="I49" s="18">
        <v>8</v>
      </c>
      <c r="J49" s="18" t="s">
        <v>45</v>
      </c>
      <c r="K49" s="18">
        <v>500</v>
      </c>
      <c r="L49" s="18">
        <v>0</v>
      </c>
      <c r="M49" s="18" t="s">
        <v>268</v>
      </c>
      <c r="N49" s="18" t="s">
        <v>129</v>
      </c>
      <c r="O49" s="18" t="s">
        <v>130</v>
      </c>
      <c r="P49" s="18">
        <v>0</v>
      </c>
      <c r="Q49" s="18">
        <v>6</v>
      </c>
      <c r="R49" s="18">
        <v>2</v>
      </c>
      <c r="S49" s="18" t="s">
        <v>131</v>
      </c>
      <c r="T49" s="18" t="s">
        <v>132</v>
      </c>
      <c r="U49" s="18">
        <v>1</v>
      </c>
      <c r="V49" s="18">
        <v>0</v>
      </c>
      <c r="W49" s="18">
        <v>0</v>
      </c>
      <c r="X49" s="18">
        <v>3</v>
      </c>
      <c r="Y49" s="19" t="s">
        <v>139</v>
      </c>
      <c r="Z49" s="19" t="s">
        <v>201</v>
      </c>
      <c r="AA49" s="18" t="s">
        <v>130</v>
      </c>
      <c r="AB49" s="18" t="s">
        <v>269</v>
      </c>
      <c r="AC49" s="18" t="s">
        <v>270</v>
      </c>
      <c r="AD49" s="18" t="s">
        <v>137</v>
      </c>
      <c r="AE49" s="20" t="s">
        <v>130</v>
      </c>
    </row>
    <row r="50" ht="38" customHeight="1" spans="1:31">
      <c r="A50" s="17" t="s">
        <v>80</v>
      </c>
      <c r="B50" s="18" t="s">
        <v>39</v>
      </c>
      <c r="C50" s="18">
        <v>0</v>
      </c>
      <c r="D50" s="18" t="s">
        <v>48</v>
      </c>
      <c r="E50" s="18" t="s">
        <v>81</v>
      </c>
      <c r="F50" s="18" t="s">
        <v>41</v>
      </c>
      <c r="G50" s="18" t="s">
        <v>82</v>
      </c>
      <c r="H50" s="18" t="s">
        <v>74</v>
      </c>
      <c r="I50" s="18">
        <v>8</v>
      </c>
      <c r="J50" s="18" t="s">
        <v>45</v>
      </c>
      <c r="K50" s="18">
        <v>500</v>
      </c>
      <c r="L50" s="18">
        <v>0</v>
      </c>
      <c r="M50" s="18" t="s">
        <v>271</v>
      </c>
      <c r="N50" s="18" t="s">
        <v>129</v>
      </c>
      <c r="O50" s="18" t="s">
        <v>130</v>
      </c>
      <c r="P50" s="18">
        <v>1</v>
      </c>
      <c r="Q50" s="18">
        <v>0</v>
      </c>
      <c r="R50" s="18">
        <v>8</v>
      </c>
      <c r="S50" s="18" t="s">
        <v>131</v>
      </c>
      <c r="T50" s="18" t="s">
        <v>132</v>
      </c>
      <c r="U50" s="18">
        <v>1</v>
      </c>
      <c r="V50" s="18">
        <v>0</v>
      </c>
      <c r="W50" s="18">
        <v>0</v>
      </c>
      <c r="X50" s="18">
        <v>100</v>
      </c>
      <c r="Y50" s="19" t="s">
        <v>272</v>
      </c>
      <c r="Z50" s="19" t="s">
        <v>134</v>
      </c>
      <c r="AA50" s="18" t="s">
        <v>186</v>
      </c>
      <c r="AB50" s="18" t="s">
        <v>130</v>
      </c>
      <c r="AC50" s="18" t="s">
        <v>273</v>
      </c>
      <c r="AD50" s="18" t="s">
        <v>137</v>
      </c>
      <c r="AE50" s="20" t="s">
        <v>130</v>
      </c>
    </row>
    <row r="51" ht="38" customHeight="1" spans="1:31">
      <c r="A51" s="17" t="s">
        <v>80</v>
      </c>
      <c r="B51" s="18" t="s">
        <v>39</v>
      </c>
      <c r="C51" s="18">
        <v>0</v>
      </c>
      <c r="D51" s="18" t="s">
        <v>48</v>
      </c>
      <c r="E51" s="18" t="s">
        <v>81</v>
      </c>
      <c r="F51" s="18" t="s">
        <v>41</v>
      </c>
      <c r="G51" s="18" t="s">
        <v>82</v>
      </c>
      <c r="H51" s="18" t="s">
        <v>74</v>
      </c>
      <c r="I51" s="18">
        <v>8</v>
      </c>
      <c r="J51" s="18" t="s">
        <v>45</v>
      </c>
      <c r="K51" s="18">
        <v>500</v>
      </c>
      <c r="L51" s="18">
        <v>0</v>
      </c>
      <c r="M51" s="18" t="s">
        <v>274</v>
      </c>
      <c r="N51" s="18" t="s">
        <v>129</v>
      </c>
      <c r="O51" s="18" t="s">
        <v>130</v>
      </c>
      <c r="P51" s="18">
        <v>2</v>
      </c>
      <c r="Q51" s="18">
        <v>0</v>
      </c>
      <c r="R51" s="18">
        <v>8</v>
      </c>
      <c r="S51" s="18" t="s">
        <v>131</v>
      </c>
      <c r="T51" s="18" t="s">
        <v>132</v>
      </c>
      <c r="U51" s="18">
        <v>1</v>
      </c>
      <c r="V51" s="18">
        <v>0</v>
      </c>
      <c r="W51" s="18">
        <v>0</v>
      </c>
      <c r="X51" s="18">
        <v>100</v>
      </c>
      <c r="Y51" s="19" t="s">
        <v>275</v>
      </c>
      <c r="Z51" s="19" t="s">
        <v>134</v>
      </c>
      <c r="AA51" s="18" t="s">
        <v>186</v>
      </c>
      <c r="AB51" s="18" t="s">
        <v>130</v>
      </c>
      <c r="AC51" s="18" t="s">
        <v>276</v>
      </c>
      <c r="AD51" s="18" t="s">
        <v>137</v>
      </c>
      <c r="AE51" s="20" t="s">
        <v>130</v>
      </c>
    </row>
    <row r="52" ht="38" customHeight="1" spans="1:31">
      <c r="A52" s="17" t="s">
        <v>80</v>
      </c>
      <c r="B52" s="18" t="s">
        <v>39</v>
      </c>
      <c r="C52" s="18">
        <v>0</v>
      </c>
      <c r="D52" s="18" t="s">
        <v>48</v>
      </c>
      <c r="E52" s="18" t="s">
        <v>81</v>
      </c>
      <c r="F52" s="18" t="s">
        <v>41</v>
      </c>
      <c r="G52" s="18" t="s">
        <v>82</v>
      </c>
      <c r="H52" s="18" t="s">
        <v>74</v>
      </c>
      <c r="I52" s="18">
        <v>8</v>
      </c>
      <c r="J52" s="18" t="s">
        <v>45</v>
      </c>
      <c r="K52" s="18">
        <v>500</v>
      </c>
      <c r="L52" s="18">
        <v>0</v>
      </c>
      <c r="M52" s="18" t="s">
        <v>277</v>
      </c>
      <c r="N52" s="18" t="s">
        <v>129</v>
      </c>
      <c r="O52" s="18" t="s">
        <v>130</v>
      </c>
      <c r="P52" s="18">
        <v>3</v>
      </c>
      <c r="Q52" s="18">
        <v>0</v>
      </c>
      <c r="R52" s="18">
        <v>16</v>
      </c>
      <c r="S52" s="18" t="s">
        <v>131</v>
      </c>
      <c r="T52" s="18" t="s">
        <v>132</v>
      </c>
      <c r="U52" s="18">
        <v>1</v>
      </c>
      <c r="V52" s="18">
        <v>0</v>
      </c>
      <c r="W52" s="18">
        <v>0</v>
      </c>
      <c r="X52" s="18">
        <v>9999</v>
      </c>
      <c r="Y52" s="19" t="s">
        <v>175</v>
      </c>
      <c r="Z52" s="19" t="s">
        <v>181</v>
      </c>
      <c r="AA52" s="18" t="s">
        <v>278</v>
      </c>
      <c r="AB52" s="18" t="s">
        <v>130</v>
      </c>
      <c r="AC52" s="18" t="s">
        <v>279</v>
      </c>
      <c r="AD52" s="18" t="s">
        <v>137</v>
      </c>
      <c r="AE52" s="20" t="s">
        <v>130</v>
      </c>
    </row>
    <row r="53" ht="38" customHeight="1" spans="1:31">
      <c r="A53" s="17" t="s">
        <v>80</v>
      </c>
      <c r="B53" s="18" t="s">
        <v>39</v>
      </c>
      <c r="C53" s="18">
        <v>0</v>
      </c>
      <c r="D53" s="18" t="s">
        <v>48</v>
      </c>
      <c r="E53" s="18" t="s">
        <v>81</v>
      </c>
      <c r="F53" s="18" t="s">
        <v>41</v>
      </c>
      <c r="G53" s="18" t="s">
        <v>82</v>
      </c>
      <c r="H53" s="18" t="s">
        <v>74</v>
      </c>
      <c r="I53" s="18">
        <v>8</v>
      </c>
      <c r="J53" s="18" t="s">
        <v>45</v>
      </c>
      <c r="K53" s="18">
        <v>500</v>
      </c>
      <c r="L53" s="18">
        <v>0</v>
      </c>
      <c r="M53" s="18" t="s">
        <v>280</v>
      </c>
      <c r="N53" s="18" t="s">
        <v>129</v>
      </c>
      <c r="O53" s="18" t="s">
        <v>130</v>
      </c>
      <c r="P53" s="18">
        <v>5</v>
      </c>
      <c r="Q53" s="18">
        <v>0</v>
      </c>
      <c r="R53" s="18">
        <v>1</v>
      </c>
      <c r="S53" s="18" t="s">
        <v>131</v>
      </c>
      <c r="T53" s="18" t="s">
        <v>132</v>
      </c>
      <c r="U53" s="18">
        <v>1</v>
      </c>
      <c r="V53" s="18">
        <v>0</v>
      </c>
      <c r="W53" s="18">
        <v>0</v>
      </c>
      <c r="X53" s="18">
        <v>1</v>
      </c>
      <c r="Y53" s="19" t="s">
        <v>139</v>
      </c>
      <c r="Z53" s="19" t="s">
        <v>139</v>
      </c>
      <c r="AA53" s="18" t="s">
        <v>130</v>
      </c>
      <c r="AB53" s="18" t="s">
        <v>281</v>
      </c>
      <c r="AC53" s="18" t="s">
        <v>282</v>
      </c>
      <c r="AD53" s="18" t="s">
        <v>137</v>
      </c>
      <c r="AE53" s="20" t="s">
        <v>130</v>
      </c>
    </row>
    <row r="54" ht="38" customHeight="1" spans="1:31">
      <c r="A54" s="17" t="s">
        <v>80</v>
      </c>
      <c r="B54" s="18" t="s">
        <v>39</v>
      </c>
      <c r="C54" s="18">
        <v>0</v>
      </c>
      <c r="D54" s="18" t="s">
        <v>48</v>
      </c>
      <c r="E54" s="18" t="s">
        <v>81</v>
      </c>
      <c r="F54" s="18" t="s">
        <v>41</v>
      </c>
      <c r="G54" s="18" t="s">
        <v>82</v>
      </c>
      <c r="H54" s="18" t="s">
        <v>74</v>
      </c>
      <c r="I54" s="18">
        <v>8</v>
      </c>
      <c r="J54" s="18" t="s">
        <v>45</v>
      </c>
      <c r="K54" s="18">
        <v>500</v>
      </c>
      <c r="L54" s="18">
        <v>0</v>
      </c>
      <c r="M54" s="18" t="s">
        <v>283</v>
      </c>
      <c r="N54" s="18" t="s">
        <v>129</v>
      </c>
      <c r="O54" s="18" t="s">
        <v>130</v>
      </c>
      <c r="P54" s="18">
        <v>6</v>
      </c>
      <c r="Q54" s="18">
        <v>0</v>
      </c>
      <c r="R54" s="18">
        <v>5</v>
      </c>
      <c r="S54" s="18" t="s">
        <v>131</v>
      </c>
      <c r="T54" s="18" t="s">
        <v>132</v>
      </c>
      <c r="U54" s="18">
        <v>1</v>
      </c>
      <c r="V54" s="18">
        <v>0</v>
      </c>
      <c r="W54" s="18">
        <v>0</v>
      </c>
      <c r="X54" s="18">
        <v>23</v>
      </c>
      <c r="Y54" s="19" t="s">
        <v>165</v>
      </c>
      <c r="Z54" s="19" t="s">
        <v>284</v>
      </c>
      <c r="AA54" s="18" t="s">
        <v>285</v>
      </c>
      <c r="AB54" s="18" t="s">
        <v>130</v>
      </c>
      <c r="AC54" s="18" t="s">
        <v>286</v>
      </c>
      <c r="AD54" s="18" t="s">
        <v>137</v>
      </c>
      <c r="AE54" s="20" t="s">
        <v>130</v>
      </c>
    </row>
    <row r="55" ht="38" customHeight="1" spans="1:31">
      <c r="A55" s="17" t="s">
        <v>80</v>
      </c>
      <c r="B55" s="18" t="s">
        <v>39</v>
      </c>
      <c r="C55" s="18">
        <v>0</v>
      </c>
      <c r="D55" s="18" t="s">
        <v>48</v>
      </c>
      <c r="E55" s="18" t="s">
        <v>81</v>
      </c>
      <c r="F55" s="18" t="s">
        <v>41</v>
      </c>
      <c r="G55" s="18" t="s">
        <v>82</v>
      </c>
      <c r="H55" s="18" t="s">
        <v>74</v>
      </c>
      <c r="I55" s="18">
        <v>8</v>
      </c>
      <c r="J55" s="18" t="s">
        <v>45</v>
      </c>
      <c r="K55" s="18">
        <v>500</v>
      </c>
      <c r="L55" s="18">
        <v>0</v>
      </c>
      <c r="M55" s="18" t="s">
        <v>287</v>
      </c>
      <c r="N55" s="18" t="s">
        <v>129</v>
      </c>
      <c r="O55" s="18" t="s">
        <v>130</v>
      </c>
      <c r="P55" s="18">
        <v>7</v>
      </c>
      <c r="Q55" s="18">
        <v>0</v>
      </c>
      <c r="R55" s="18">
        <v>6</v>
      </c>
      <c r="S55" s="18" t="s">
        <v>131</v>
      </c>
      <c r="T55" s="18" t="s">
        <v>132</v>
      </c>
      <c r="U55" s="18">
        <v>1</v>
      </c>
      <c r="V55" s="18">
        <v>0</v>
      </c>
      <c r="W55" s="18">
        <v>0</v>
      </c>
      <c r="X55" s="18">
        <v>59</v>
      </c>
      <c r="Y55" s="19" t="s">
        <v>165</v>
      </c>
      <c r="Z55" s="19" t="s">
        <v>288</v>
      </c>
      <c r="AA55" s="18" t="s">
        <v>289</v>
      </c>
      <c r="AB55" s="18" t="s">
        <v>130</v>
      </c>
      <c r="AC55" s="18" t="s">
        <v>290</v>
      </c>
      <c r="AD55" s="18" t="s">
        <v>137</v>
      </c>
      <c r="AE55" s="20" t="s">
        <v>130</v>
      </c>
    </row>
    <row r="56" ht="38" customHeight="1" spans="1:31">
      <c r="A56" s="13" t="s">
        <v>84</v>
      </c>
      <c r="B56" s="14" t="s">
        <v>39</v>
      </c>
      <c r="C56" s="14">
        <v>0</v>
      </c>
      <c r="D56" s="14" t="s">
        <v>40</v>
      </c>
      <c r="E56" s="14" t="s">
        <v>41</v>
      </c>
      <c r="F56" s="14" t="s">
        <v>85</v>
      </c>
      <c r="G56" s="14" t="s">
        <v>86</v>
      </c>
      <c r="H56" s="14" t="s">
        <v>74</v>
      </c>
      <c r="I56" s="14">
        <v>8</v>
      </c>
      <c r="J56" s="14" t="s">
        <v>45</v>
      </c>
      <c r="K56" s="14">
        <v>100</v>
      </c>
      <c r="L56" s="14">
        <v>0</v>
      </c>
      <c r="M56" s="14" t="s">
        <v>291</v>
      </c>
      <c r="N56" s="14" t="s">
        <v>129</v>
      </c>
      <c r="O56" s="14" t="s">
        <v>130</v>
      </c>
      <c r="P56" s="14">
        <v>0</v>
      </c>
      <c r="Q56" s="14">
        <v>0</v>
      </c>
      <c r="R56" s="14">
        <v>3</v>
      </c>
      <c r="S56" s="14" t="s">
        <v>131</v>
      </c>
      <c r="T56" s="14" t="s">
        <v>132</v>
      </c>
      <c r="U56" s="14">
        <v>1</v>
      </c>
      <c r="V56" s="14">
        <v>0</v>
      </c>
      <c r="W56" s="14">
        <v>0</v>
      </c>
      <c r="X56" s="14">
        <v>7</v>
      </c>
      <c r="Y56" s="15" t="s">
        <v>139</v>
      </c>
      <c r="Z56" s="15" t="s">
        <v>149</v>
      </c>
      <c r="AA56" s="14" t="s">
        <v>130</v>
      </c>
      <c r="AB56" s="14" t="s">
        <v>292</v>
      </c>
      <c r="AC56" s="14" t="s">
        <v>293</v>
      </c>
      <c r="AD56" s="14" t="s">
        <v>137</v>
      </c>
      <c r="AE56" s="16" t="s">
        <v>130</v>
      </c>
    </row>
    <row r="57" ht="38" customHeight="1" spans="1:31">
      <c r="A57" s="17" t="s">
        <v>84</v>
      </c>
      <c r="B57" s="18" t="s">
        <v>39</v>
      </c>
      <c r="C57" s="18">
        <v>0</v>
      </c>
      <c r="D57" s="18" t="s">
        <v>40</v>
      </c>
      <c r="E57" s="18" t="s">
        <v>41</v>
      </c>
      <c r="F57" s="18" t="s">
        <v>85</v>
      </c>
      <c r="G57" s="18" t="s">
        <v>86</v>
      </c>
      <c r="H57" s="18" t="s">
        <v>74</v>
      </c>
      <c r="I57" s="18">
        <v>8</v>
      </c>
      <c r="J57" s="18" t="s">
        <v>45</v>
      </c>
      <c r="K57" s="18">
        <v>100</v>
      </c>
      <c r="L57" s="18">
        <v>0</v>
      </c>
      <c r="M57" s="18" t="s">
        <v>294</v>
      </c>
      <c r="N57" s="18" t="s">
        <v>129</v>
      </c>
      <c r="O57" s="18" t="s">
        <v>130</v>
      </c>
      <c r="P57" s="18">
        <v>0</v>
      </c>
      <c r="Q57" s="18">
        <v>3</v>
      </c>
      <c r="R57" s="18">
        <v>3</v>
      </c>
      <c r="S57" s="18" t="s">
        <v>131</v>
      </c>
      <c r="T57" s="18" t="s">
        <v>132</v>
      </c>
      <c r="U57" s="18">
        <v>1</v>
      </c>
      <c r="V57" s="18">
        <v>0</v>
      </c>
      <c r="W57" s="18">
        <v>0</v>
      </c>
      <c r="X57" s="18">
        <v>7</v>
      </c>
      <c r="Y57" s="19" t="s">
        <v>139</v>
      </c>
      <c r="Z57" s="19" t="s">
        <v>149</v>
      </c>
      <c r="AA57" s="18" t="s">
        <v>130</v>
      </c>
      <c r="AB57" s="18" t="s">
        <v>295</v>
      </c>
      <c r="AC57" s="18" t="s">
        <v>296</v>
      </c>
      <c r="AD57" s="18" t="s">
        <v>137</v>
      </c>
      <c r="AE57" s="20" t="s">
        <v>130</v>
      </c>
    </row>
    <row r="58" ht="38" customHeight="1" spans="1:31">
      <c r="A58" s="17" t="s">
        <v>84</v>
      </c>
      <c r="B58" s="18" t="s">
        <v>39</v>
      </c>
      <c r="C58" s="18">
        <v>0</v>
      </c>
      <c r="D58" s="18" t="s">
        <v>40</v>
      </c>
      <c r="E58" s="18" t="s">
        <v>41</v>
      </c>
      <c r="F58" s="18" t="s">
        <v>85</v>
      </c>
      <c r="G58" s="18" t="s">
        <v>86</v>
      </c>
      <c r="H58" s="18" t="s">
        <v>74</v>
      </c>
      <c r="I58" s="18">
        <v>8</v>
      </c>
      <c r="J58" s="18" t="s">
        <v>45</v>
      </c>
      <c r="K58" s="18">
        <v>100</v>
      </c>
      <c r="L58" s="18">
        <v>0</v>
      </c>
      <c r="M58" s="18" t="s">
        <v>297</v>
      </c>
      <c r="N58" s="18" t="s">
        <v>129</v>
      </c>
      <c r="O58" s="18" t="s">
        <v>130</v>
      </c>
      <c r="P58" s="18">
        <v>1</v>
      </c>
      <c r="Q58" s="18">
        <v>0</v>
      </c>
      <c r="R58" s="18">
        <v>2</v>
      </c>
      <c r="S58" s="18" t="s">
        <v>131</v>
      </c>
      <c r="T58" s="18" t="s">
        <v>132</v>
      </c>
      <c r="U58" s="18">
        <v>1</v>
      </c>
      <c r="V58" s="18">
        <v>0</v>
      </c>
      <c r="W58" s="18">
        <v>0</v>
      </c>
      <c r="X58" s="18">
        <v>3</v>
      </c>
      <c r="Y58" s="19" t="s">
        <v>139</v>
      </c>
      <c r="Z58" s="19" t="s">
        <v>201</v>
      </c>
      <c r="AA58" s="18" t="s">
        <v>130</v>
      </c>
      <c r="AB58" s="18" t="s">
        <v>298</v>
      </c>
      <c r="AC58" s="18" t="s">
        <v>299</v>
      </c>
      <c r="AD58" s="18" t="s">
        <v>137</v>
      </c>
      <c r="AE58" s="20" t="s">
        <v>130</v>
      </c>
    </row>
    <row r="59" ht="38" customHeight="1" spans="1:31">
      <c r="A59" s="17" t="s">
        <v>84</v>
      </c>
      <c r="B59" s="18" t="s">
        <v>39</v>
      </c>
      <c r="C59" s="18">
        <v>0</v>
      </c>
      <c r="D59" s="18" t="s">
        <v>40</v>
      </c>
      <c r="E59" s="18" t="s">
        <v>41</v>
      </c>
      <c r="F59" s="18" t="s">
        <v>85</v>
      </c>
      <c r="G59" s="18" t="s">
        <v>86</v>
      </c>
      <c r="H59" s="18" t="s">
        <v>74</v>
      </c>
      <c r="I59" s="18">
        <v>8</v>
      </c>
      <c r="J59" s="18" t="s">
        <v>45</v>
      </c>
      <c r="K59" s="18">
        <v>100</v>
      </c>
      <c r="L59" s="18">
        <v>0</v>
      </c>
      <c r="M59" s="18" t="s">
        <v>300</v>
      </c>
      <c r="N59" s="18" t="s">
        <v>129</v>
      </c>
      <c r="O59" s="18" t="s">
        <v>130</v>
      </c>
      <c r="P59" s="18">
        <v>2</v>
      </c>
      <c r="Q59" s="18">
        <v>0</v>
      </c>
      <c r="R59" s="18">
        <v>8</v>
      </c>
      <c r="S59" s="18" t="s">
        <v>131</v>
      </c>
      <c r="T59" s="18" t="s">
        <v>132</v>
      </c>
      <c r="U59" s="18">
        <v>1</v>
      </c>
      <c r="V59" s="18">
        <v>0</v>
      </c>
      <c r="W59" s="18">
        <v>0</v>
      </c>
      <c r="X59" s="18">
        <v>100</v>
      </c>
      <c r="Y59" s="19" t="s">
        <v>272</v>
      </c>
      <c r="Z59" s="19" t="s">
        <v>134</v>
      </c>
      <c r="AA59" s="18" t="s">
        <v>186</v>
      </c>
      <c r="AB59" s="18" t="s">
        <v>130</v>
      </c>
      <c r="AC59" s="18" t="s">
        <v>301</v>
      </c>
      <c r="AD59" s="18" t="s">
        <v>137</v>
      </c>
      <c r="AE59" s="20" t="s">
        <v>130</v>
      </c>
    </row>
    <row r="60" ht="38" customHeight="1" spans="1:31">
      <c r="A60" s="17" t="s">
        <v>84</v>
      </c>
      <c r="B60" s="18" t="s">
        <v>39</v>
      </c>
      <c r="C60" s="18">
        <v>0</v>
      </c>
      <c r="D60" s="18" t="s">
        <v>40</v>
      </c>
      <c r="E60" s="18" t="s">
        <v>41</v>
      </c>
      <c r="F60" s="18" t="s">
        <v>85</v>
      </c>
      <c r="G60" s="18" t="s">
        <v>86</v>
      </c>
      <c r="H60" s="18" t="s">
        <v>74</v>
      </c>
      <c r="I60" s="18">
        <v>8</v>
      </c>
      <c r="J60" s="18" t="s">
        <v>45</v>
      </c>
      <c r="K60" s="18">
        <v>100</v>
      </c>
      <c r="L60" s="18">
        <v>0</v>
      </c>
      <c r="M60" s="18" t="s">
        <v>302</v>
      </c>
      <c r="N60" s="18" t="s">
        <v>129</v>
      </c>
      <c r="O60" s="18" t="s">
        <v>130</v>
      </c>
      <c r="P60" s="18">
        <v>3</v>
      </c>
      <c r="Q60" s="18">
        <v>0</v>
      </c>
      <c r="R60" s="18">
        <v>16</v>
      </c>
      <c r="S60" s="18" t="s">
        <v>131</v>
      </c>
      <c r="T60" s="18" t="s">
        <v>132</v>
      </c>
      <c r="U60" s="18">
        <v>0.1</v>
      </c>
      <c r="V60" s="18">
        <v>0</v>
      </c>
      <c r="W60" s="18">
        <v>0</v>
      </c>
      <c r="X60" s="18">
        <v>6553.5</v>
      </c>
      <c r="Y60" s="19" t="s">
        <v>175</v>
      </c>
      <c r="Z60" s="19" t="s">
        <v>181</v>
      </c>
      <c r="AA60" s="18" t="s">
        <v>278</v>
      </c>
      <c r="AB60" s="18" t="s">
        <v>130</v>
      </c>
      <c r="AC60" s="18" t="s">
        <v>303</v>
      </c>
      <c r="AD60" s="18" t="s">
        <v>137</v>
      </c>
      <c r="AE60" s="20" t="s">
        <v>304</v>
      </c>
    </row>
    <row r="61" ht="38" customHeight="1" spans="1:31">
      <c r="A61" s="17" t="s">
        <v>84</v>
      </c>
      <c r="B61" s="18" t="s">
        <v>39</v>
      </c>
      <c r="C61" s="18">
        <v>0</v>
      </c>
      <c r="D61" s="18" t="s">
        <v>40</v>
      </c>
      <c r="E61" s="18" t="s">
        <v>41</v>
      </c>
      <c r="F61" s="18" t="s">
        <v>85</v>
      </c>
      <c r="G61" s="18" t="s">
        <v>86</v>
      </c>
      <c r="H61" s="18" t="s">
        <v>74</v>
      </c>
      <c r="I61" s="18">
        <v>8</v>
      </c>
      <c r="J61" s="18" t="s">
        <v>45</v>
      </c>
      <c r="K61" s="18">
        <v>100</v>
      </c>
      <c r="L61" s="18">
        <v>0</v>
      </c>
      <c r="M61" s="18" t="s">
        <v>305</v>
      </c>
      <c r="N61" s="18" t="s">
        <v>129</v>
      </c>
      <c r="O61" s="18" t="s">
        <v>130</v>
      </c>
      <c r="P61" s="18">
        <v>5</v>
      </c>
      <c r="Q61" s="18">
        <v>0</v>
      </c>
      <c r="R61" s="18">
        <v>16</v>
      </c>
      <c r="S61" s="18" t="s">
        <v>131</v>
      </c>
      <c r="T61" s="18" t="s">
        <v>132</v>
      </c>
      <c r="U61" s="18">
        <v>1</v>
      </c>
      <c r="V61" s="18">
        <v>0</v>
      </c>
      <c r="W61" s="18">
        <v>0</v>
      </c>
      <c r="X61" s="18">
        <v>65535</v>
      </c>
      <c r="Y61" s="19" t="s">
        <v>175</v>
      </c>
      <c r="Z61" s="19" t="s">
        <v>181</v>
      </c>
      <c r="AA61" s="18" t="s">
        <v>289</v>
      </c>
      <c r="AB61" s="18" t="s">
        <v>130</v>
      </c>
      <c r="AC61" s="18" t="s">
        <v>306</v>
      </c>
      <c r="AD61" s="18" t="s">
        <v>137</v>
      </c>
      <c r="AE61" s="20" t="s">
        <v>130</v>
      </c>
    </row>
    <row r="62" ht="38" customHeight="1" spans="1:31">
      <c r="A62" s="17" t="s">
        <v>84</v>
      </c>
      <c r="B62" s="18" t="s">
        <v>39</v>
      </c>
      <c r="C62" s="18">
        <v>0</v>
      </c>
      <c r="D62" s="18" t="s">
        <v>40</v>
      </c>
      <c r="E62" s="18" t="s">
        <v>41</v>
      </c>
      <c r="F62" s="18" t="s">
        <v>85</v>
      </c>
      <c r="G62" s="18" t="s">
        <v>86</v>
      </c>
      <c r="H62" s="18" t="s">
        <v>74</v>
      </c>
      <c r="I62" s="18">
        <v>8</v>
      </c>
      <c r="J62" s="18" t="s">
        <v>45</v>
      </c>
      <c r="K62" s="18">
        <v>100</v>
      </c>
      <c r="L62" s="18">
        <v>0</v>
      </c>
      <c r="M62" s="18" t="s">
        <v>307</v>
      </c>
      <c r="N62" s="18" t="s">
        <v>129</v>
      </c>
      <c r="O62" s="18" t="s">
        <v>130</v>
      </c>
      <c r="P62" s="18">
        <v>7</v>
      </c>
      <c r="Q62" s="18">
        <v>0</v>
      </c>
      <c r="R62" s="18">
        <v>1</v>
      </c>
      <c r="S62" s="18" t="s">
        <v>131</v>
      </c>
      <c r="T62" s="18" t="s">
        <v>132</v>
      </c>
      <c r="U62" s="18">
        <v>1</v>
      </c>
      <c r="V62" s="18">
        <v>0</v>
      </c>
      <c r="W62" s="18">
        <v>0</v>
      </c>
      <c r="X62" s="18">
        <v>1</v>
      </c>
      <c r="Y62" s="19" t="s">
        <v>139</v>
      </c>
      <c r="Z62" s="19" t="s">
        <v>139</v>
      </c>
      <c r="AA62" s="18" t="s">
        <v>130</v>
      </c>
      <c r="AB62" s="18" t="s">
        <v>140</v>
      </c>
      <c r="AC62" s="18" t="s">
        <v>308</v>
      </c>
      <c r="AD62" s="18" t="s">
        <v>137</v>
      </c>
      <c r="AE62" s="20" t="s">
        <v>130</v>
      </c>
    </row>
    <row r="63" ht="38" customHeight="1" spans="1:31">
      <c r="A63" s="17" t="s">
        <v>84</v>
      </c>
      <c r="B63" s="18" t="s">
        <v>39</v>
      </c>
      <c r="C63" s="18">
        <v>0</v>
      </c>
      <c r="D63" s="18" t="s">
        <v>40</v>
      </c>
      <c r="E63" s="18" t="s">
        <v>41</v>
      </c>
      <c r="F63" s="18" t="s">
        <v>85</v>
      </c>
      <c r="G63" s="18" t="s">
        <v>86</v>
      </c>
      <c r="H63" s="18" t="s">
        <v>74</v>
      </c>
      <c r="I63" s="18">
        <v>8</v>
      </c>
      <c r="J63" s="18" t="s">
        <v>45</v>
      </c>
      <c r="K63" s="18">
        <v>100</v>
      </c>
      <c r="L63" s="18">
        <v>0</v>
      </c>
      <c r="M63" s="18" t="s">
        <v>309</v>
      </c>
      <c r="N63" s="18" t="s">
        <v>129</v>
      </c>
      <c r="O63" s="18" t="s">
        <v>130</v>
      </c>
      <c r="P63" s="18">
        <v>7</v>
      </c>
      <c r="Q63" s="18">
        <v>1</v>
      </c>
      <c r="R63" s="18">
        <v>1</v>
      </c>
      <c r="S63" s="18" t="s">
        <v>131</v>
      </c>
      <c r="T63" s="18" t="s">
        <v>132</v>
      </c>
      <c r="U63" s="18">
        <v>1</v>
      </c>
      <c r="V63" s="18">
        <v>0</v>
      </c>
      <c r="W63" s="18">
        <v>0</v>
      </c>
      <c r="X63" s="18">
        <v>1</v>
      </c>
      <c r="Y63" s="19" t="s">
        <v>139</v>
      </c>
      <c r="Z63" s="19" t="s">
        <v>139</v>
      </c>
      <c r="AA63" s="18" t="s">
        <v>130</v>
      </c>
      <c r="AB63" s="18" t="s">
        <v>221</v>
      </c>
      <c r="AC63" s="18" t="s">
        <v>310</v>
      </c>
      <c r="AD63" s="18" t="s">
        <v>137</v>
      </c>
      <c r="AE63" s="20" t="s">
        <v>130</v>
      </c>
    </row>
    <row r="64" ht="38" customHeight="1" spans="1:31">
      <c r="A64" s="13" t="s">
        <v>88</v>
      </c>
      <c r="B64" s="14" t="s">
        <v>39</v>
      </c>
      <c r="C64" s="14">
        <v>0</v>
      </c>
      <c r="D64" s="14" t="s">
        <v>40</v>
      </c>
      <c r="E64" s="14" t="s">
        <v>41</v>
      </c>
      <c r="F64" s="14" t="s">
        <v>85</v>
      </c>
      <c r="G64" s="14" t="s">
        <v>89</v>
      </c>
      <c r="H64" s="14" t="s">
        <v>68</v>
      </c>
      <c r="I64" s="14">
        <v>8</v>
      </c>
      <c r="J64" s="14" t="s">
        <v>45</v>
      </c>
      <c r="K64" s="14">
        <v>1000</v>
      </c>
      <c r="L64" s="14">
        <v>0</v>
      </c>
      <c r="M64" s="14" t="s">
        <v>311</v>
      </c>
      <c r="N64" s="14" t="s">
        <v>129</v>
      </c>
      <c r="O64" s="14" t="s">
        <v>130</v>
      </c>
      <c r="P64" s="14">
        <v>0</v>
      </c>
      <c r="Q64" s="14">
        <v>0</v>
      </c>
      <c r="R64" s="14">
        <v>8</v>
      </c>
      <c r="S64" s="14" t="s">
        <v>131</v>
      </c>
      <c r="T64" s="14" t="s">
        <v>132</v>
      </c>
      <c r="U64" s="14">
        <v>1</v>
      </c>
      <c r="V64" s="14">
        <v>0</v>
      </c>
      <c r="W64" s="14">
        <v>0</v>
      </c>
      <c r="X64" s="14">
        <v>255</v>
      </c>
      <c r="Y64" s="15" t="s">
        <v>165</v>
      </c>
      <c r="Z64" s="15" t="s">
        <v>134</v>
      </c>
      <c r="AA64" s="14" t="s">
        <v>130</v>
      </c>
      <c r="AB64" s="14" t="s">
        <v>130</v>
      </c>
      <c r="AC64" s="14" t="s">
        <v>312</v>
      </c>
      <c r="AD64" s="14" t="s">
        <v>137</v>
      </c>
      <c r="AE64" s="16" t="s">
        <v>130</v>
      </c>
    </row>
    <row r="65" ht="38" customHeight="1" spans="1:31">
      <c r="A65" s="17" t="s">
        <v>88</v>
      </c>
      <c r="B65" s="18" t="s">
        <v>39</v>
      </c>
      <c r="C65" s="18">
        <v>0</v>
      </c>
      <c r="D65" s="18" t="s">
        <v>40</v>
      </c>
      <c r="E65" s="18" t="s">
        <v>41</v>
      </c>
      <c r="F65" s="18" t="s">
        <v>85</v>
      </c>
      <c r="G65" s="18" t="s">
        <v>89</v>
      </c>
      <c r="H65" s="18" t="s">
        <v>68</v>
      </c>
      <c r="I65" s="18">
        <v>8</v>
      </c>
      <c r="J65" s="18" t="s">
        <v>45</v>
      </c>
      <c r="K65" s="18">
        <v>1000</v>
      </c>
      <c r="L65" s="18">
        <v>0</v>
      </c>
      <c r="M65" s="18" t="s">
        <v>313</v>
      </c>
      <c r="N65" s="18" t="s">
        <v>129</v>
      </c>
      <c r="O65" s="18" t="s">
        <v>130</v>
      </c>
      <c r="P65" s="18">
        <v>1</v>
      </c>
      <c r="Q65" s="18">
        <v>0</v>
      </c>
      <c r="R65" s="18">
        <v>16</v>
      </c>
      <c r="S65" s="18" t="s">
        <v>131</v>
      </c>
      <c r="T65" s="18" t="s">
        <v>132</v>
      </c>
      <c r="U65" s="18">
        <v>1</v>
      </c>
      <c r="V65" s="18">
        <v>0</v>
      </c>
      <c r="W65" s="18">
        <v>0</v>
      </c>
      <c r="X65" s="18">
        <v>65535</v>
      </c>
      <c r="Y65" s="19" t="s">
        <v>175</v>
      </c>
      <c r="Z65" s="19" t="s">
        <v>181</v>
      </c>
      <c r="AA65" s="18" t="s">
        <v>130</v>
      </c>
      <c r="AB65" s="18" t="s">
        <v>130</v>
      </c>
      <c r="AC65" s="18" t="s">
        <v>314</v>
      </c>
      <c r="AD65" s="18" t="s">
        <v>137</v>
      </c>
      <c r="AE65" s="20" t="s">
        <v>130</v>
      </c>
    </row>
    <row r="66" ht="38" customHeight="1" spans="1:31">
      <c r="A66" s="17" t="s">
        <v>88</v>
      </c>
      <c r="B66" s="18" t="s">
        <v>39</v>
      </c>
      <c r="C66" s="18">
        <v>0</v>
      </c>
      <c r="D66" s="18" t="s">
        <v>40</v>
      </c>
      <c r="E66" s="18" t="s">
        <v>41</v>
      </c>
      <c r="F66" s="18" t="s">
        <v>85</v>
      </c>
      <c r="G66" s="18" t="s">
        <v>89</v>
      </c>
      <c r="H66" s="18" t="s">
        <v>68</v>
      </c>
      <c r="I66" s="18">
        <v>8</v>
      </c>
      <c r="J66" s="18" t="s">
        <v>45</v>
      </c>
      <c r="K66" s="18">
        <v>1000</v>
      </c>
      <c r="L66" s="18">
        <v>0</v>
      </c>
      <c r="M66" s="18" t="s">
        <v>315</v>
      </c>
      <c r="N66" s="18" t="s">
        <v>129</v>
      </c>
      <c r="O66" s="18" t="s">
        <v>130</v>
      </c>
      <c r="P66" s="18">
        <v>3</v>
      </c>
      <c r="Q66" s="18">
        <v>0</v>
      </c>
      <c r="R66" s="18">
        <v>16</v>
      </c>
      <c r="S66" s="18" t="s">
        <v>131</v>
      </c>
      <c r="T66" s="18" t="s">
        <v>132</v>
      </c>
      <c r="U66" s="18">
        <v>1</v>
      </c>
      <c r="V66" s="18">
        <v>0</v>
      </c>
      <c r="W66" s="18">
        <v>0</v>
      </c>
      <c r="X66" s="18">
        <v>65535</v>
      </c>
      <c r="Y66" s="19" t="s">
        <v>175</v>
      </c>
      <c r="Z66" s="19" t="s">
        <v>181</v>
      </c>
      <c r="AA66" s="18" t="s">
        <v>316</v>
      </c>
      <c r="AB66" s="18" t="s">
        <v>130</v>
      </c>
      <c r="AC66" s="18" t="s">
        <v>317</v>
      </c>
      <c r="AD66" s="18" t="s">
        <v>137</v>
      </c>
      <c r="AE66" s="20" t="s">
        <v>130</v>
      </c>
    </row>
    <row r="67" ht="38" customHeight="1" spans="1:31">
      <c r="A67" s="17" t="s">
        <v>88</v>
      </c>
      <c r="B67" s="18" t="s">
        <v>39</v>
      </c>
      <c r="C67" s="18">
        <v>0</v>
      </c>
      <c r="D67" s="18" t="s">
        <v>40</v>
      </c>
      <c r="E67" s="18" t="s">
        <v>41</v>
      </c>
      <c r="F67" s="18" t="s">
        <v>85</v>
      </c>
      <c r="G67" s="18" t="s">
        <v>89</v>
      </c>
      <c r="H67" s="18" t="s">
        <v>68</v>
      </c>
      <c r="I67" s="18">
        <v>8</v>
      </c>
      <c r="J67" s="18" t="s">
        <v>45</v>
      </c>
      <c r="K67" s="18">
        <v>1000</v>
      </c>
      <c r="L67" s="18">
        <v>0</v>
      </c>
      <c r="M67" s="18" t="s">
        <v>318</v>
      </c>
      <c r="N67" s="18" t="s">
        <v>129</v>
      </c>
      <c r="O67" s="18" t="s">
        <v>130</v>
      </c>
      <c r="P67" s="18">
        <v>5</v>
      </c>
      <c r="Q67" s="18">
        <v>0</v>
      </c>
      <c r="R67" s="18">
        <v>1</v>
      </c>
      <c r="S67" s="18" t="s">
        <v>131</v>
      </c>
      <c r="T67" s="18" t="s">
        <v>132</v>
      </c>
      <c r="U67" s="18">
        <v>1</v>
      </c>
      <c r="V67" s="18">
        <v>0</v>
      </c>
      <c r="W67" s="18">
        <v>0</v>
      </c>
      <c r="X67" s="18">
        <v>1</v>
      </c>
      <c r="Y67" s="19" t="s">
        <v>139</v>
      </c>
      <c r="Z67" s="19" t="s">
        <v>139</v>
      </c>
      <c r="AA67" s="18" t="s">
        <v>130</v>
      </c>
      <c r="AB67" s="18" t="s">
        <v>319</v>
      </c>
      <c r="AC67" s="18" t="s">
        <v>320</v>
      </c>
      <c r="AD67" s="18" t="s">
        <v>137</v>
      </c>
      <c r="AE67" s="20" t="s">
        <v>130</v>
      </c>
    </row>
    <row r="68" ht="38" customHeight="1" spans="1:31">
      <c r="A68" s="17" t="s">
        <v>88</v>
      </c>
      <c r="B68" s="18" t="s">
        <v>39</v>
      </c>
      <c r="C68" s="18">
        <v>0</v>
      </c>
      <c r="D68" s="18" t="s">
        <v>40</v>
      </c>
      <c r="E68" s="18" t="s">
        <v>41</v>
      </c>
      <c r="F68" s="18" t="s">
        <v>85</v>
      </c>
      <c r="G68" s="18" t="s">
        <v>89</v>
      </c>
      <c r="H68" s="18" t="s">
        <v>68</v>
      </c>
      <c r="I68" s="18">
        <v>8</v>
      </c>
      <c r="J68" s="18" t="s">
        <v>45</v>
      </c>
      <c r="K68" s="18">
        <v>1000</v>
      </c>
      <c r="L68" s="18">
        <v>0</v>
      </c>
      <c r="M68" s="18" t="s">
        <v>321</v>
      </c>
      <c r="N68" s="18" t="s">
        <v>129</v>
      </c>
      <c r="O68" s="18" t="s">
        <v>130</v>
      </c>
      <c r="P68" s="18">
        <v>5</v>
      </c>
      <c r="Q68" s="18">
        <v>1</v>
      </c>
      <c r="R68" s="18">
        <v>1</v>
      </c>
      <c r="S68" s="18" t="s">
        <v>131</v>
      </c>
      <c r="T68" s="18" t="s">
        <v>132</v>
      </c>
      <c r="U68" s="18">
        <v>1</v>
      </c>
      <c r="V68" s="18">
        <v>0</v>
      </c>
      <c r="W68" s="18">
        <v>0</v>
      </c>
      <c r="X68" s="18">
        <v>1</v>
      </c>
      <c r="Y68" s="19" t="s">
        <v>139</v>
      </c>
      <c r="Z68" s="19" t="s">
        <v>139</v>
      </c>
      <c r="AA68" s="18" t="s">
        <v>130</v>
      </c>
      <c r="AB68" s="18" t="s">
        <v>319</v>
      </c>
      <c r="AC68" s="18" t="s">
        <v>322</v>
      </c>
      <c r="AD68" s="18" t="s">
        <v>137</v>
      </c>
      <c r="AE68" s="20" t="s">
        <v>130</v>
      </c>
    </row>
    <row r="69" ht="38" customHeight="1" spans="1:31">
      <c r="A69" s="17" t="s">
        <v>88</v>
      </c>
      <c r="B69" s="18" t="s">
        <v>39</v>
      </c>
      <c r="C69" s="18">
        <v>0</v>
      </c>
      <c r="D69" s="18" t="s">
        <v>40</v>
      </c>
      <c r="E69" s="18" t="s">
        <v>41</v>
      </c>
      <c r="F69" s="18" t="s">
        <v>85</v>
      </c>
      <c r="G69" s="18" t="s">
        <v>89</v>
      </c>
      <c r="H69" s="18" t="s">
        <v>68</v>
      </c>
      <c r="I69" s="18">
        <v>8</v>
      </c>
      <c r="J69" s="18" t="s">
        <v>45</v>
      </c>
      <c r="K69" s="18">
        <v>1000</v>
      </c>
      <c r="L69" s="18">
        <v>0</v>
      </c>
      <c r="M69" s="18" t="s">
        <v>323</v>
      </c>
      <c r="N69" s="18" t="s">
        <v>129</v>
      </c>
      <c r="O69" s="18" t="s">
        <v>130</v>
      </c>
      <c r="P69" s="18">
        <v>5</v>
      </c>
      <c r="Q69" s="18">
        <v>2</v>
      </c>
      <c r="R69" s="18">
        <v>1</v>
      </c>
      <c r="S69" s="18" t="s">
        <v>131</v>
      </c>
      <c r="T69" s="18" t="s">
        <v>132</v>
      </c>
      <c r="U69" s="18">
        <v>1</v>
      </c>
      <c r="V69" s="18">
        <v>0</v>
      </c>
      <c r="W69" s="18">
        <v>0</v>
      </c>
      <c r="X69" s="18">
        <v>1</v>
      </c>
      <c r="Y69" s="19" t="s">
        <v>139</v>
      </c>
      <c r="Z69" s="19" t="s">
        <v>139</v>
      </c>
      <c r="AA69" s="18" t="s">
        <v>130</v>
      </c>
      <c r="AB69" s="18" t="s">
        <v>319</v>
      </c>
      <c r="AC69" s="18" t="s">
        <v>324</v>
      </c>
      <c r="AD69" s="18" t="s">
        <v>137</v>
      </c>
      <c r="AE69" s="20" t="s">
        <v>130</v>
      </c>
    </row>
    <row r="70" ht="38" customHeight="1" spans="1:31">
      <c r="A70" s="17" t="s">
        <v>88</v>
      </c>
      <c r="B70" s="18" t="s">
        <v>39</v>
      </c>
      <c r="C70" s="18">
        <v>0</v>
      </c>
      <c r="D70" s="18" t="s">
        <v>40</v>
      </c>
      <c r="E70" s="18" t="s">
        <v>41</v>
      </c>
      <c r="F70" s="18" t="s">
        <v>85</v>
      </c>
      <c r="G70" s="18" t="s">
        <v>89</v>
      </c>
      <c r="H70" s="18" t="s">
        <v>68</v>
      </c>
      <c r="I70" s="18">
        <v>8</v>
      </c>
      <c r="J70" s="18" t="s">
        <v>45</v>
      </c>
      <c r="K70" s="18">
        <v>1000</v>
      </c>
      <c r="L70" s="18">
        <v>0</v>
      </c>
      <c r="M70" s="18" t="s">
        <v>325</v>
      </c>
      <c r="N70" s="18" t="s">
        <v>129</v>
      </c>
      <c r="O70" s="18" t="s">
        <v>130</v>
      </c>
      <c r="P70" s="18">
        <v>5</v>
      </c>
      <c r="Q70" s="18">
        <v>3</v>
      </c>
      <c r="R70" s="18">
        <v>1</v>
      </c>
      <c r="S70" s="18" t="s">
        <v>131</v>
      </c>
      <c r="T70" s="18" t="s">
        <v>132</v>
      </c>
      <c r="U70" s="18">
        <v>1</v>
      </c>
      <c r="V70" s="18">
        <v>0</v>
      </c>
      <c r="W70" s="18">
        <v>0</v>
      </c>
      <c r="X70" s="18">
        <v>1</v>
      </c>
      <c r="Y70" s="19" t="s">
        <v>139</v>
      </c>
      <c r="Z70" s="19" t="s">
        <v>139</v>
      </c>
      <c r="AA70" s="18" t="s">
        <v>130</v>
      </c>
      <c r="AB70" s="18" t="s">
        <v>319</v>
      </c>
      <c r="AC70" s="18" t="s">
        <v>326</v>
      </c>
      <c r="AD70" s="18" t="s">
        <v>137</v>
      </c>
      <c r="AE70" s="20" t="s">
        <v>130</v>
      </c>
    </row>
    <row r="71" ht="38" customHeight="1" spans="1:31">
      <c r="A71" s="17" t="s">
        <v>88</v>
      </c>
      <c r="B71" s="18" t="s">
        <v>39</v>
      </c>
      <c r="C71" s="18">
        <v>0</v>
      </c>
      <c r="D71" s="18" t="s">
        <v>40</v>
      </c>
      <c r="E71" s="18" t="s">
        <v>41</v>
      </c>
      <c r="F71" s="18" t="s">
        <v>85</v>
      </c>
      <c r="G71" s="18" t="s">
        <v>89</v>
      </c>
      <c r="H71" s="18" t="s">
        <v>68</v>
      </c>
      <c r="I71" s="18">
        <v>8</v>
      </c>
      <c r="J71" s="18" t="s">
        <v>45</v>
      </c>
      <c r="K71" s="18">
        <v>1000</v>
      </c>
      <c r="L71" s="18">
        <v>0</v>
      </c>
      <c r="M71" s="18" t="s">
        <v>327</v>
      </c>
      <c r="N71" s="18" t="s">
        <v>129</v>
      </c>
      <c r="O71" s="18" t="s">
        <v>130</v>
      </c>
      <c r="P71" s="18">
        <v>5</v>
      </c>
      <c r="Q71" s="18">
        <v>4</v>
      </c>
      <c r="R71" s="18">
        <v>1</v>
      </c>
      <c r="S71" s="18" t="s">
        <v>131</v>
      </c>
      <c r="T71" s="18" t="s">
        <v>132</v>
      </c>
      <c r="U71" s="18">
        <v>1</v>
      </c>
      <c r="V71" s="18">
        <v>0</v>
      </c>
      <c r="W71" s="18">
        <v>0</v>
      </c>
      <c r="X71" s="18">
        <v>1</v>
      </c>
      <c r="Y71" s="19" t="s">
        <v>139</v>
      </c>
      <c r="Z71" s="19" t="s">
        <v>139</v>
      </c>
      <c r="AA71" s="18" t="s">
        <v>130</v>
      </c>
      <c r="AB71" s="18" t="s">
        <v>319</v>
      </c>
      <c r="AC71" s="18" t="s">
        <v>328</v>
      </c>
      <c r="AD71" s="18" t="s">
        <v>137</v>
      </c>
      <c r="AE71" s="20" t="s">
        <v>130</v>
      </c>
    </row>
    <row r="72" ht="38" customHeight="1" spans="1:31">
      <c r="A72" s="17" t="s">
        <v>88</v>
      </c>
      <c r="B72" s="18" t="s">
        <v>39</v>
      </c>
      <c r="C72" s="18">
        <v>0</v>
      </c>
      <c r="D72" s="18" t="s">
        <v>40</v>
      </c>
      <c r="E72" s="18" t="s">
        <v>41</v>
      </c>
      <c r="F72" s="18" t="s">
        <v>85</v>
      </c>
      <c r="G72" s="18" t="s">
        <v>89</v>
      </c>
      <c r="H72" s="18" t="s">
        <v>68</v>
      </c>
      <c r="I72" s="18">
        <v>8</v>
      </c>
      <c r="J72" s="18" t="s">
        <v>45</v>
      </c>
      <c r="K72" s="18">
        <v>1000</v>
      </c>
      <c r="L72" s="18">
        <v>0</v>
      </c>
      <c r="M72" s="18" t="s">
        <v>329</v>
      </c>
      <c r="N72" s="18" t="s">
        <v>129</v>
      </c>
      <c r="O72" s="18" t="s">
        <v>130</v>
      </c>
      <c r="P72" s="18">
        <v>6</v>
      </c>
      <c r="Q72" s="18">
        <v>0</v>
      </c>
      <c r="R72" s="18">
        <v>8</v>
      </c>
      <c r="S72" s="18" t="s">
        <v>131</v>
      </c>
      <c r="T72" s="18" t="s">
        <v>132</v>
      </c>
      <c r="U72" s="18">
        <v>1</v>
      </c>
      <c r="V72" s="18">
        <v>0</v>
      </c>
      <c r="W72" s="18">
        <v>0</v>
      </c>
      <c r="X72" s="18">
        <v>255</v>
      </c>
      <c r="Y72" s="19" t="s">
        <v>165</v>
      </c>
      <c r="Z72" s="19" t="s">
        <v>134</v>
      </c>
      <c r="AA72" s="18" t="s">
        <v>316</v>
      </c>
      <c r="AB72" s="18" t="s">
        <v>130</v>
      </c>
      <c r="AC72" s="18" t="s">
        <v>330</v>
      </c>
      <c r="AD72" s="18" t="s">
        <v>137</v>
      </c>
      <c r="AE72" s="20" t="s">
        <v>130</v>
      </c>
    </row>
    <row r="73" ht="38" customHeight="1" spans="1:31">
      <c r="A73" s="17" t="s">
        <v>88</v>
      </c>
      <c r="B73" s="18" t="s">
        <v>39</v>
      </c>
      <c r="C73" s="18">
        <v>0</v>
      </c>
      <c r="D73" s="18" t="s">
        <v>40</v>
      </c>
      <c r="E73" s="18" t="s">
        <v>41</v>
      </c>
      <c r="F73" s="18" t="s">
        <v>85</v>
      </c>
      <c r="G73" s="18" t="s">
        <v>89</v>
      </c>
      <c r="H73" s="18" t="s">
        <v>68</v>
      </c>
      <c r="I73" s="18">
        <v>8</v>
      </c>
      <c r="J73" s="18" t="s">
        <v>45</v>
      </c>
      <c r="K73" s="18">
        <v>1000</v>
      </c>
      <c r="L73" s="18">
        <v>0</v>
      </c>
      <c r="M73" s="18" t="s">
        <v>331</v>
      </c>
      <c r="N73" s="18" t="s">
        <v>129</v>
      </c>
      <c r="O73" s="18" t="s">
        <v>130</v>
      </c>
      <c r="P73" s="18">
        <v>7</v>
      </c>
      <c r="Q73" s="18">
        <v>0</v>
      </c>
      <c r="R73" s="18">
        <v>4</v>
      </c>
      <c r="S73" s="18" t="s">
        <v>131</v>
      </c>
      <c r="T73" s="18" t="s">
        <v>132</v>
      </c>
      <c r="U73" s="18">
        <v>1</v>
      </c>
      <c r="V73" s="18">
        <v>0</v>
      </c>
      <c r="W73" s="18">
        <v>0</v>
      </c>
      <c r="X73" s="18">
        <v>15</v>
      </c>
      <c r="Y73" s="19" t="s">
        <v>139</v>
      </c>
      <c r="Z73" s="19" t="s">
        <v>205</v>
      </c>
      <c r="AA73" s="18" t="s">
        <v>130</v>
      </c>
      <c r="AB73" s="18" t="s">
        <v>332</v>
      </c>
      <c r="AC73" s="18" t="s">
        <v>333</v>
      </c>
      <c r="AD73" s="18" t="s">
        <v>137</v>
      </c>
      <c r="AE73" s="20" t="s">
        <v>130</v>
      </c>
    </row>
    <row r="74" ht="38" customHeight="1" spans="1:31">
      <c r="A74" s="13" t="s">
        <v>91</v>
      </c>
      <c r="B74" s="14" t="s">
        <v>39</v>
      </c>
      <c r="C74" s="14">
        <v>0</v>
      </c>
      <c r="D74" s="14" t="s">
        <v>40</v>
      </c>
      <c r="E74" s="14" t="s">
        <v>41</v>
      </c>
      <c r="F74" s="14" t="s">
        <v>85</v>
      </c>
      <c r="G74" s="14" t="s">
        <v>92</v>
      </c>
      <c r="H74" s="14" t="s">
        <v>74</v>
      </c>
      <c r="I74" s="14">
        <v>8</v>
      </c>
      <c r="J74" s="14" t="s">
        <v>57</v>
      </c>
      <c r="K74" s="14">
        <v>0</v>
      </c>
      <c r="L74" s="14">
        <v>0</v>
      </c>
      <c r="M74" s="14" t="s">
        <v>334</v>
      </c>
      <c r="N74" s="14" t="s">
        <v>129</v>
      </c>
      <c r="O74" s="14" t="s">
        <v>130</v>
      </c>
      <c r="P74" s="14">
        <v>0</v>
      </c>
      <c r="Q74" s="14">
        <v>0</v>
      </c>
      <c r="R74" s="14">
        <v>8</v>
      </c>
      <c r="S74" s="14" t="s">
        <v>131</v>
      </c>
      <c r="T74" s="14" t="s">
        <v>132</v>
      </c>
      <c r="U74" s="14">
        <v>1</v>
      </c>
      <c r="V74" s="14">
        <v>0</v>
      </c>
      <c r="W74" s="14">
        <v>0</v>
      </c>
      <c r="X74" s="14">
        <v>255</v>
      </c>
      <c r="Y74" s="15" t="s">
        <v>165</v>
      </c>
      <c r="Z74" s="15" t="s">
        <v>134</v>
      </c>
      <c r="AA74" s="14" t="s">
        <v>130</v>
      </c>
      <c r="AB74" s="14" t="s">
        <v>335</v>
      </c>
      <c r="AC74" s="14" t="s">
        <v>336</v>
      </c>
      <c r="AD74" s="14" t="s">
        <v>337</v>
      </c>
      <c r="AE74" s="16" t="s">
        <v>130</v>
      </c>
    </row>
    <row r="75" ht="38" customHeight="1" spans="1:31">
      <c r="A75" s="17" t="s">
        <v>91</v>
      </c>
      <c r="B75" s="18" t="s">
        <v>39</v>
      </c>
      <c r="C75" s="18">
        <v>0</v>
      </c>
      <c r="D75" s="18" t="s">
        <v>40</v>
      </c>
      <c r="E75" s="18" t="s">
        <v>41</v>
      </c>
      <c r="F75" s="18" t="s">
        <v>85</v>
      </c>
      <c r="G75" s="18" t="s">
        <v>92</v>
      </c>
      <c r="H75" s="18" t="s">
        <v>74</v>
      </c>
      <c r="I75" s="18">
        <v>8</v>
      </c>
      <c r="J75" s="18" t="s">
        <v>57</v>
      </c>
      <c r="K75" s="18">
        <v>0</v>
      </c>
      <c r="L75" s="18">
        <v>0</v>
      </c>
      <c r="M75" s="18" t="s">
        <v>338</v>
      </c>
      <c r="N75" s="18" t="s">
        <v>129</v>
      </c>
      <c r="O75" s="18" t="s">
        <v>130</v>
      </c>
      <c r="P75" s="18">
        <v>1</v>
      </c>
      <c r="Q75" s="18">
        <v>0</v>
      </c>
      <c r="R75" s="18">
        <v>4</v>
      </c>
      <c r="S75" s="18" t="s">
        <v>131</v>
      </c>
      <c r="T75" s="18" t="s">
        <v>132</v>
      </c>
      <c r="U75" s="18">
        <v>1</v>
      </c>
      <c r="V75" s="18">
        <v>0</v>
      </c>
      <c r="W75" s="18">
        <v>0</v>
      </c>
      <c r="X75" s="18">
        <v>15</v>
      </c>
      <c r="Y75" s="19" t="s">
        <v>139</v>
      </c>
      <c r="Z75" s="19" t="s">
        <v>205</v>
      </c>
      <c r="AA75" s="18" t="s">
        <v>130</v>
      </c>
      <c r="AB75" s="18" t="s">
        <v>339</v>
      </c>
      <c r="AC75" s="18" t="s">
        <v>340</v>
      </c>
      <c r="AD75" s="18" t="s">
        <v>337</v>
      </c>
      <c r="AE75" s="20" t="s">
        <v>130</v>
      </c>
    </row>
    <row r="76" ht="38" customHeight="1" spans="1:31">
      <c r="A76" s="17" t="s">
        <v>91</v>
      </c>
      <c r="B76" s="18" t="s">
        <v>39</v>
      </c>
      <c r="C76" s="18">
        <v>0</v>
      </c>
      <c r="D76" s="18" t="s">
        <v>40</v>
      </c>
      <c r="E76" s="18" t="s">
        <v>41</v>
      </c>
      <c r="F76" s="18" t="s">
        <v>85</v>
      </c>
      <c r="G76" s="18" t="s">
        <v>92</v>
      </c>
      <c r="H76" s="18" t="s">
        <v>74</v>
      </c>
      <c r="I76" s="18">
        <v>8</v>
      </c>
      <c r="J76" s="18" t="s">
        <v>57</v>
      </c>
      <c r="K76" s="18">
        <v>0</v>
      </c>
      <c r="L76" s="18">
        <v>0</v>
      </c>
      <c r="M76" s="18" t="s">
        <v>341</v>
      </c>
      <c r="N76" s="18" t="s">
        <v>129</v>
      </c>
      <c r="O76" s="18" t="s">
        <v>130</v>
      </c>
      <c r="P76" s="18">
        <v>2</v>
      </c>
      <c r="Q76" s="18">
        <v>0</v>
      </c>
      <c r="R76" s="18">
        <v>8</v>
      </c>
      <c r="S76" s="18" t="s">
        <v>131</v>
      </c>
      <c r="T76" s="18" t="s">
        <v>132</v>
      </c>
      <c r="U76" s="18">
        <v>1</v>
      </c>
      <c r="V76" s="18">
        <v>0</v>
      </c>
      <c r="W76" s="18">
        <v>0</v>
      </c>
      <c r="X76" s="18">
        <v>255</v>
      </c>
      <c r="Y76" s="19" t="s">
        <v>165</v>
      </c>
      <c r="Z76" s="19" t="s">
        <v>134</v>
      </c>
      <c r="AA76" s="18" t="s">
        <v>316</v>
      </c>
      <c r="AB76" s="18" t="s">
        <v>130</v>
      </c>
      <c r="AC76" s="18" t="s">
        <v>342</v>
      </c>
      <c r="AD76" s="18" t="s">
        <v>337</v>
      </c>
      <c r="AE76" s="20" t="s">
        <v>130</v>
      </c>
    </row>
    <row r="77" ht="38" customHeight="1" spans="1:31">
      <c r="A77" s="17" t="s">
        <v>91</v>
      </c>
      <c r="B77" s="18" t="s">
        <v>39</v>
      </c>
      <c r="C77" s="18">
        <v>0</v>
      </c>
      <c r="D77" s="18" t="s">
        <v>40</v>
      </c>
      <c r="E77" s="18" t="s">
        <v>41</v>
      </c>
      <c r="F77" s="18" t="s">
        <v>85</v>
      </c>
      <c r="G77" s="18" t="s">
        <v>92</v>
      </c>
      <c r="H77" s="18" t="s">
        <v>74</v>
      </c>
      <c r="I77" s="18">
        <v>8</v>
      </c>
      <c r="J77" s="18" t="s">
        <v>57</v>
      </c>
      <c r="K77" s="18">
        <v>0</v>
      </c>
      <c r="L77" s="18">
        <v>0</v>
      </c>
      <c r="M77" s="18" t="s">
        <v>343</v>
      </c>
      <c r="N77" s="18" t="s">
        <v>129</v>
      </c>
      <c r="O77" s="18" t="s">
        <v>130</v>
      </c>
      <c r="P77" s="18">
        <v>3</v>
      </c>
      <c r="Q77" s="18">
        <v>0</v>
      </c>
      <c r="R77" s="18">
        <v>1</v>
      </c>
      <c r="S77" s="18" t="s">
        <v>131</v>
      </c>
      <c r="T77" s="18" t="s">
        <v>132</v>
      </c>
      <c r="U77" s="18">
        <v>1</v>
      </c>
      <c r="V77" s="18">
        <v>0</v>
      </c>
      <c r="W77" s="18">
        <v>0</v>
      </c>
      <c r="X77" s="18">
        <v>1</v>
      </c>
      <c r="Y77" s="19" t="s">
        <v>139</v>
      </c>
      <c r="Z77" s="19" t="s">
        <v>139</v>
      </c>
      <c r="AA77" s="18" t="s">
        <v>130</v>
      </c>
      <c r="AB77" s="18" t="s">
        <v>344</v>
      </c>
      <c r="AC77" s="18" t="s">
        <v>345</v>
      </c>
      <c r="AD77" s="18" t="s">
        <v>337</v>
      </c>
      <c r="AE77" s="20" t="s">
        <v>130</v>
      </c>
    </row>
    <row r="78" ht="38" customHeight="1" spans="1:31">
      <c r="A78" s="17" t="s">
        <v>91</v>
      </c>
      <c r="B78" s="18" t="s">
        <v>39</v>
      </c>
      <c r="C78" s="18">
        <v>0</v>
      </c>
      <c r="D78" s="18" t="s">
        <v>40</v>
      </c>
      <c r="E78" s="18" t="s">
        <v>41</v>
      </c>
      <c r="F78" s="18" t="s">
        <v>85</v>
      </c>
      <c r="G78" s="18" t="s">
        <v>92</v>
      </c>
      <c r="H78" s="18" t="s">
        <v>74</v>
      </c>
      <c r="I78" s="18">
        <v>8</v>
      </c>
      <c r="J78" s="18" t="s">
        <v>57</v>
      </c>
      <c r="K78" s="18">
        <v>0</v>
      </c>
      <c r="L78" s="18">
        <v>0</v>
      </c>
      <c r="M78" s="18" t="s">
        <v>346</v>
      </c>
      <c r="N78" s="18" t="s">
        <v>129</v>
      </c>
      <c r="O78" s="18" t="s">
        <v>130</v>
      </c>
      <c r="P78" s="18">
        <v>3</v>
      </c>
      <c r="Q78" s="18">
        <v>1</v>
      </c>
      <c r="R78" s="18">
        <v>1</v>
      </c>
      <c r="S78" s="18" t="s">
        <v>131</v>
      </c>
      <c r="T78" s="18" t="s">
        <v>132</v>
      </c>
      <c r="U78" s="18">
        <v>1</v>
      </c>
      <c r="V78" s="18">
        <v>0</v>
      </c>
      <c r="W78" s="18">
        <v>0</v>
      </c>
      <c r="X78" s="18">
        <v>1</v>
      </c>
      <c r="Y78" s="19" t="s">
        <v>139</v>
      </c>
      <c r="Z78" s="19" t="s">
        <v>139</v>
      </c>
      <c r="AA78" s="18" t="s">
        <v>130</v>
      </c>
      <c r="AB78" s="18" t="s">
        <v>344</v>
      </c>
      <c r="AC78" s="18" t="s">
        <v>347</v>
      </c>
      <c r="AD78" s="18" t="s">
        <v>337</v>
      </c>
      <c r="AE78" s="20" t="s">
        <v>130</v>
      </c>
    </row>
    <row r="79" ht="38" customHeight="1" spans="1:31">
      <c r="A79" s="17" t="s">
        <v>91</v>
      </c>
      <c r="B79" s="18" t="s">
        <v>39</v>
      </c>
      <c r="C79" s="18">
        <v>0</v>
      </c>
      <c r="D79" s="18" t="s">
        <v>40</v>
      </c>
      <c r="E79" s="18" t="s">
        <v>41</v>
      </c>
      <c r="F79" s="18" t="s">
        <v>85</v>
      </c>
      <c r="G79" s="18" t="s">
        <v>92</v>
      </c>
      <c r="H79" s="18" t="s">
        <v>74</v>
      </c>
      <c r="I79" s="18">
        <v>8</v>
      </c>
      <c r="J79" s="18" t="s">
        <v>57</v>
      </c>
      <c r="K79" s="18">
        <v>0</v>
      </c>
      <c r="L79" s="18">
        <v>0</v>
      </c>
      <c r="M79" s="18" t="s">
        <v>348</v>
      </c>
      <c r="N79" s="18" t="s">
        <v>129</v>
      </c>
      <c r="O79" s="18" t="s">
        <v>130</v>
      </c>
      <c r="P79" s="18">
        <v>4</v>
      </c>
      <c r="Q79" s="18">
        <v>0</v>
      </c>
      <c r="R79" s="18">
        <v>32</v>
      </c>
      <c r="S79" s="18" t="s">
        <v>131</v>
      </c>
      <c r="T79" s="18" t="s">
        <v>132</v>
      </c>
      <c r="U79" s="18">
        <v>1</v>
      </c>
      <c r="V79" s="18">
        <v>0</v>
      </c>
      <c r="W79" s="18">
        <v>0</v>
      </c>
      <c r="X79" s="18">
        <v>0</v>
      </c>
      <c r="Y79" s="19" t="s">
        <v>349</v>
      </c>
      <c r="Z79" s="19" t="s">
        <v>350</v>
      </c>
      <c r="AA79" s="18" t="s">
        <v>130</v>
      </c>
      <c r="AB79" s="18" t="s">
        <v>130</v>
      </c>
      <c r="AC79" s="18" t="s">
        <v>351</v>
      </c>
      <c r="AD79" s="18" t="s">
        <v>337</v>
      </c>
      <c r="AE79" s="20" t="s">
        <v>130</v>
      </c>
    </row>
    <row r="80" ht="38" customHeight="1" spans="1:31">
      <c r="A80" s="13" t="s">
        <v>94</v>
      </c>
      <c r="B80" s="14" t="s">
        <v>39</v>
      </c>
      <c r="C80" s="14">
        <v>0</v>
      </c>
      <c r="D80" s="14" t="s">
        <v>40</v>
      </c>
      <c r="E80" s="14" t="s">
        <v>41</v>
      </c>
      <c r="F80" s="14" t="s">
        <v>85</v>
      </c>
      <c r="G80" s="14" t="s">
        <v>95</v>
      </c>
      <c r="H80" s="14" t="s">
        <v>74</v>
      </c>
      <c r="I80" s="14">
        <v>8</v>
      </c>
      <c r="J80" s="14" t="s">
        <v>45</v>
      </c>
      <c r="K80" s="14">
        <v>1000</v>
      </c>
      <c r="L80" s="14">
        <v>0</v>
      </c>
      <c r="M80" s="14" t="s">
        <v>352</v>
      </c>
      <c r="N80" s="14" t="s">
        <v>129</v>
      </c>
      <c r="O80" s="14" t="s">
        <v>130</v>
      </c>
      <c r="P80" s="14">
        <v>0</v>
      </c>
      <c r="Q80" s="14">
        <v>0</v>
      </c>
      <c r="R80" s="14">
        <v>2</v>
      </c>
      <c r="S80" s="14" t="s">
        <v>131</v>
      </c>
      <c r="T80" s="14" t="s">
        <v>132</v>
      </c>
      <c r="U80" s="14">
        <v>1</v>
      </c>
      <c r="V80" s="14">
        <v>0</v>
      </c>
      <c r="W80" s="14">
        <v>0</v>
      </c>
      <c r="X80" s="14">
        <v>3</v>
      </c>
      <c r="Y80" s="15" t="s">
        <v>139</v>
      </c>
      <c r="Z80" s="15" t="s">
        <v>201</v>
      </c>
      <c r="AA80" s="14" t="s">
        <v>130</v>
      </c>
      <c r="AB80" s="14" t="s">
        <v>353</v>
      </c>
      <c r="AC80" s="14" t="s">
        <v>354</v>
      </c>
      <c r="AD80" s="14" t="s">
        <v>137</v>
      </c>
      <c r="AE80" s="16" t="s">
        <v>130</v>
      </c>
    </row>
    <row r="81" ht="38" customHeight="1" spans="1:31">
      <c r="A81" s="17" t="s">
        <v>94</v>
      </c>
      <c r="B81" s="18" t="s">
        <v>39</v>
      </c>
      <c r="C81" s="18">
        <v>0</v>
      </c>
      <c r="D81" s="18" t="s">
        <v>40</v>
      </c>
      <c r="E81" s="18" t="s">
        <v>41</v>
      </c>
      <c r="F81" s="18" t="s">
        <v>85</v>
      </c>
      <c r="G81" s="18" t="s">
        <v>95</v>
      </c>
      <c r="H81" s="18" t="s">
        <v>74</v>
      </c>
      <c r="I81" s="18">
        <v>8</v>
      </c>
      <c r="J81" s="18" t="s">
        <v>45</v>
      </c>
      <c r="K81" s="18">
        <v>1000</v>
      </c>
      <c r="L81" s="18">
        <v>0</v>
      </c>
      <c r="M81" s="18" t="s">
        <v>355</v>
      </c>
      <c r="N81" s="18" t="s">
        <v>129</v>
      </c>
      <c r="O81" s="18" t="s">
        <v>130</v>
      </c>
      <c r="P81" s="18">
        <v>0</v>
      </c>
      <c r="Q81" s="18">
        <v>2</v>
      </c>
      <c r="R81" s="18">
        <v>1</v>
      </c>
      <c r="S81" s="18" t="s">
        <v>131</v>
      </c>
      <c r="T81" s="18" t="s">
        <v>132</v>
      </c>
      <c r="U81" s="18">
        <v>1</v>
      </c>
      <c r="V81" s="18">
        <v>0</v>
      </c>
      <c r="W81" s="18">
        <v>0</v>
      </c>
      <c r="X81" s="18">
        <v>1</v>
      </c>
      <c r="Y81" s="19" t="s">
        <v>139</v>
      </c>
      <c r="Z81" s="19" t="s">
        <v>139</v>
      </c>
      <c r="AA81" s="18" t="s">
        <v>130</v>
      </c>
      <c r="AB81" s="18" t="s">
        <v>356</v>
      </c>
      <c r="AC81" s="18" t="s">
        <v>357</v>
      </c>
      <c r="AD81" s="18" t="s">
        <v>137</v>
      </c>
      <c r="AE81" s="20" t="s">
        <v>130</v>
      </c>
    </row>
    <row r="82" ht="38" customHeight="1" spans="1:31">
      <c r="A82" s="17" t="s">
        <v>94</v>
      </c>
      <c r="B82" s="18" t="s">
        <v>39</v>
      </c>
      <c r="C82" s="18">
        <v>0</v>
      </c>
      <c r="D82" s="18" t="s">
        <v>40</v>
      </c>
      <c r="E82" s="18" t="s">
        <v>41</v>
      </c>
      <c r="F82" s="18" t="s">
        <v>85</v>
      </c>
      <c r="G82" s="18" t="s">
        <v>95</v>
      </c>
      <c r="H82" s="18" t="s">
        <v>74</v>
      </c>
      <c r="I82" s="18">
        <v>8</v>
      </c>
      <c r="J82" s="18" t="s">
        <v>45</v>
      </c>
      <c r="K82" s="18">
        <v>1000</v>
      </c>
      <c r="L82" s="18">
        <v>0</v>
      </c>
      <c r="M82" s="18" t="s">
        <v>358</v>
      </c>
      <c r="N82" s="18" t="s">
        <v>129</v>
      </c>
      <c r="O82" s="18" t="s">
        <v>130</v>
      </c>
      <c r="P82" s="18">
        <v>1</v>
      </c>
      <c r="Q82" s="18">
        <v>0</v>
      </c>
      <c r="R82" s="18">
        <v>16</v>
      </c>
      <c r="S82" s="18" t="s">
        <v>131</v>
      </c>
      <c r="T82" s="18" t="s">
        <v>132</v>
      </c>
      <c r="U82" s="18">
        <v>1</v>
      </c>
      <c r="V82" s="18">
        <v>0</v>
      </c>
      <c r="W82" s="18">
        <v>0</v>
      </c>
      <c r="X82" s="18">
        <v>65535</v>
      </c>
      <c r="Y82" s="19" t="s">
        <v>175</v>
      </c>
      <c r="Z82" s="19" t="s">
        <v>181</v>
      </c>
      <c r="AA82" s="18" t="s">
        <v>130</v>
      </c>
      <c r="AB82" s="18" t="s">
        <v>130</v>
      </c>
      <c r="AC82" s="18" t="s">
        <v>359</v>
      </c>
      <c r="AD82" s="18" t="s">
        <v>137</v>
      </c>
      <c r="AE82" s="20" t="s">
        <v>130</v>
      </c>
    </row>
    <row r="83" ht="38" customHeight="1" spans="1:31">
      <c r="A83" s="17" t="s">
        <v>94</v>
      </c>
      <c r="B83" s="18" t="s">
        <v>39</v>
      </c>
      <c r="C83" s="18">
        <v>0</v>
      </c>
      <c r="D83" s="18" t="s">
        <v>40</v>
      </c>
      <c r="E83" s="18" t="s">
        <v>41</v>
      </c>
      <c r="F83" s="18" t="s">
        <v>85</v>
      </c>
      <c r="G83" s="18" t="s">
        <v>95</v>
      </c>
      <c r="H83" s="18" t="s">
        <v>74</v>
      </c>
      <c r="I83" s="18">
        <v>8</v>
      </c>
      <c r="J83" s="18" t="s">
        <v>45</v>
      </c>
      <c r="K83" s="18">
        <v>1000</v>
      </c>
      <c r="L83" s="18">
        <v>0</v>
      </c>
      <c r="M83" s="18" t="s">
        <v>360</v>
      </c>
      <c r="N83" s="18" t="s">
        <v>129</v>
      </c>
      <c r="O83" s="18" t="s">
        <v>130</v>
      </c>
      <c r="P83" s="18">
        <v>3</v>
      </c>
      <c r="Q83" s="18">
        <v>0</v>
      </c>
      <c r="R83" s="18">
        <v>8</v>
      </c>
      <c r="S83" s="18" t="s">
        <v>131</v>
      </c>
      <c r="T83" s="18" t="s">
        <v>132</v>
      </c>
      <c r="U83" s="18">
        <v>1</v>
      </c>
      <c r="V83" s="18">
        <v>0</v>
      </c>
      <c r="W83" s="18">
        <v>0</v>
      </c>
      <c r="X83" s="18">
        <v>255</v>
      </c>
      <c r="Y83" s="19" t="s">
        <v>165</v>
      </c>
      <c r="Z83" s="19" t="s">
        <v>134</v>
      </c>
      <c r="AA83" s="18" t="s">
        <v>316</v>
      </c>
      <c r="AB83" s="18" t="s">
        <v>130</v>
      </c>
      <c r="AC83" s="18" t="s">
        <v>361</v>
      </c>
      <c r="AD83" s="18" t="s">
        <v>137</v>
      </c>
      <c r="AE83" s="20" t="s">
        <v>130</v>
      </c>
    </row>
    <row r="84" ht="38" customHeight="1" spans="1:31">
      <c r="A84" s="21" t="s">
        <v>94</v>
      </c>
      <c r="B84" s="22" t="s">
        <v>39</v>
      </c>
      <c r="C84" s="22">
        <v>0</v>
      </c>
      <c r="D84" s="22" t="s">
        <v>40</v>
      </c>
      <c r="E84" s="22" t="s">
        <v>41</v>
      </c>
      <c r="F84" s="22" t="s">
        <v>85</v>
      </c>
      <c r="G84" s="22" t="s">
        <v>95</v>
      </c>
      <c r="H84" s="22" t="s">
        <v>74</v>
      </c>
      <c r="I84" s="22">
        <v>8</v>
      </c>
      <c r="J84" s="22" t="s">
        <v>45</v>
      </c>
      <c r="K84" s="22">
        <v>1000</v>
      </c>
      <c r="L84" s="22">
        <v>0</v>
      </c>
      <c r="M84" s="22" t="s">
        <v>362</v>
      </c>
      <c r="N84" s="22" t="s">
        <v>129</v>
      </c>
      <c r="O84" s="22" t="s">
        <v>130</v>
      </c>
      <c r="P84" s="22">
        <v>4</v>
      </c>
      <c r="Q84" s="22">
        <v>0</v>
      </c>
      <c r="R84" s="22">
        <v>32</v>
      </c>
      <c r="S84" s="22" t="s">
        <v>131</v>
      </c>
      <c r="T84" s="22" t="s">
        <v>132</v>
      </c>
      <c r="U84" s="22">
        <v>1</v>
      </c>
      <c r="V84" s="22">
        <v>0</v>
      </c>
      <c r="W84" s="22">
        <v>0</v>
      </c>
      <c r="X84" s="22">
        <v>4294967295</v>
      </c>
      <c r="Y84" s="23" t="s">
        <v>349</v>
      </c>
      <c r="Z84" s="23" t="s">
        <v>350</v>
      </c>
      <c r="AA84" s="22" t="s">
        <v>363</v>
      </c>
      <c r="AB84" s="22" t="s">
        <v>130</v>
      </c>
      <c r="AC84" s="22" t="s">
        <v>364</v>
      </c>
      <c r="AD84" s="22" t="s">
        <v>137</v>
      </c>
      <c r="AE84" s="24" t="s">
        <v>130</v>
      </c>
    </row>
  </sheetData>
  <dataValidations count="5">
    <dataValidation type="list" sqref="B2:B84">
      <formula1>"StandardCAN,ExtendedCAN,CANFD"</formula1>
    </dataValidation>
    <dataValidation type="list" sqref="D2:D84">
      <formula1>"Rx,Tx,Rx/Tx"</formula1>
    </dataValidation>
    <dataValidation type="list" sqref="H2:H84">
      <formula1>"NM,DIAG,SIGNAL,DIAG/SIGNAL"</formula1>
    </dataValidation>
    <dataValidation type="list" sqref="J2:J84">
      <formula1>"Cyclic,Event,Cyclic/Event"</formula1>
    </dataValidation>
    <dataValidation type="list" sqref="R2:R84">
      <formula1>"Intel LSB,Motorola MSB,Motorola LSB"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A1:I1"/>
    </sheetView>
  </sheetViews>
  <sheetFormatPr defaultColWidth="9" defaultRowHeight="14.25" outlineLevelRow="7"/>
  <cols>
    <col min="1" max="1" width="32" customWidth="1"/>
    <col min="2" max="2" width="10.3583333333333" customWidth="1"/>
    <col min="3" max="3" width="6.85833333333333" customWidth="1"/>
    <col min="4" max="4" width="7.94166666666667" customWidth="1"/>
    <col min="5" max="5" width="4.44166666666667" customWidth="1"/>
    <col min="6" max="6" width="12.3833333333333" customWidth="1"/>
    <col min="7" max="7" width="10.5" customWidth="1"/>
    <col min="8" max="8" width="4.16666666666667" customWidth="1"/>
    <col min="9" max="9" width="45" customWidth="1"/>
  </cols>
  <sheetData>
    <row r="1" ht="20.25" spans="1:9">
      <c r="A1" s="10" t="s">
        <v>365</v>
      </c>
      <c r="B1" s="10"/>
      <c r="C1" s="10"/>
      <c r="D1" s="10"/>
      <c r="E1" s="10"/>
      <c r="F1" s="10"/>
      <c r="G1" s="10"/>
      <c r="H1" s="10"/>
      <c r="I1" s="10"/>
    </row>
    <row r="2" ht="25.5" spans="1:9">
      <c r="A2" s="1" t="s">
        <v>366</v>
      </c>
      <c r="B2" s="2" t="s">
        <v>367</v>
      </c>
      <c r="C2" s="2" t="s">
        <v>368</v>
      </c>
      <c r="D2" s="2" t="s">
        <v>369</v>
      </c>
      <c r="E2" s="2" t="s">
        <v>370</v>
      </c>
      <c r="F2" s="2" t="s">
        <v>371</v>
      </c>
      <c r="G2" s="2" t="s">
        <v>372</v>
      </c>
      <c r="H2" s="2" t="s">
        <v>373</v>
      </c>
      <c r="I2" s="3" t="s">
        <v>374</v>
      </c>
    </row>
    <row r="3" ht="28.5" spans="1:9">
      <c r="A3" s="4" t="s">
        <v>174</v>
      </c>
      <c r="B3" s="5" t="s">
        <v>375</v>
      </c>
      <c r="C3" s="5">
        <v>1600</v>
      </c>
      <c r="D3" s="5">
        <v>0.0625</v>
      </c>
      <c r="E3" s="5">
        <v>0</v>
      </c>
      <c r="F3" s="5">
        <f t="shared" ref="F3:F8" si="0">C3*D3+E3</f>
        <v>100</v>
      </c>
      <c r="G3" s="11">
        <f t="shared" ref="G3:G8" si="1">C3*D3+E3</f>
        <v>100</v>
      </c>
      <c r="H3" s="5" t="s">
        <v>177</v>
      </c>
      <c r="I3" s="6" t="s">
        <v>376</v>
      </c>
    </row>
    <row r="4" spans="1:9">
      <c r="A4" s="4" t="s">
        <v>180</v>
      </c>
      <c r="B4" s="5" t="s">
        <v>377</v>
      </c>
      <c r="C4" s="5">
        <v>12000</v>
      </c>
      <c r="D4" s="5">
        <v>0.25</v>
      </c>
      <c r="E4" s="5">
        <v>0</v>
      </c>
      <c r="F4" s="5">
        <f t="shared" si="0"/>
        <v>3000</v>
      </c>
      <c r="G4" s="11">
        <f t="shared" si="1"/>
        <v>3000</v>
      </c>
      <c r="H4" s="5" t="s">
        <v>182</v>
      </c>
      <c r="I4" s="6" t="s">
        <v>378</v>
      </c>
    </row>
    <row r="5" spans="1:9">
      <c r="A5" s="4" t="s">
        <v>185</v>
      </c>
      <c r="B5" s="5" t="s">
        <v>379</v>
      </c>
      <c r="C5" s="5">
        <v>200</v>
      </c>
      <c r="D5" s="5">
        <v>0.4</v>
      </c>
      <c r="E5" s="5">
        <v>0</v>
      </c>
      <c r="F5" s="5">
        <f t="shared" si="0"/>
        <v>80</v>
      </c>
      <c r="G5" s="11">
        <f t="shared" si="1"/>
        <v>80</v>
      </c>
      <c r="H5" s="5" t="s">
        <v>186</v>
      </c>
      <c r="I5" s="6" t="s">
        <v>380</v>
      </c>
    </row>
    <row r="6" spans="1:9">
      <c r="A6" s="4" t="s">
        <v>189</v>
      </c>
      <c r="B6" s="5" t="s">
        <v>381</v>
      </c>
      <c r="C6" s="5">
        <v>90</v>
      </c>
      <c r="D6" s="5">
        <v>1</v>
      </c>
      <c r="E6" s="5">
        <v>-40</v>
      </c>
      <c r="F6" s="5">
        <f t="shared" si="0"/>
        <v>50</v>
      </c>
      <c r="G6" s="11">
        <f t="shared" si="1"/>
        <v>50</v>
      </c>
      <c r="H6" s="5" t="s">
        <v>192</v>
      </c>
      <c r="I6" s="6" t="s">
        <v>382</v>
      </c>
    </row>
    <row r="7" spans="1:9">
      <c r="A7" s="4" t="s">
        <v>245</v>
      </c>
      <c r="B7" s="5" t="s">
        <v>272</v>
      </c>
      <c r="C7" s="5">
        <v>100</v>
      </c>
      <c r="D7" s="5">
        <v>0.0275</v>
      </c>
      <c r="E7" s="5">
        <v>0</v>
      </c>
      <c r="F7" s="5">
        <f t="shared" si="0"/>
        <v>2.75</v>
      </c>
      <c r="G7" s="11">
        <f t="shared" si="1"/>
        <v>2.75</v>
      </c>
      <c r="H7" s="5" t="s">
        <v>246</v>
      </c>
      <c r="I7" s="6" t="s">
        <v>383</v>
      </c>
    </row>
    <row r="8" spans="1:9">
      <c r="A8" s="7" t="s">
        <v>302</v>
      </c>
      <c r="B8" s="8" t="s">
        <v>384</v>
      </c>
      <c r="C8" s="8">
        <v>1234</v>
      </c>
      <c r="D8" s="8">
        <v>0.1</v>
      </c>
      <c r="E8" s="8">
        <v>0</v>
      </c>
      <c r="F8" s="8">
        <f t="shared" si="0"/>
        <v>123.4</v>
      </c>
      <c r="G8" s="12">
        <f t="shared" si="1"/>
        <v>123.4</v>
      </c>
      <c r="H8" s="8" t="s">
        <v>278</v>
      </c>
      <c r="I8" s="9" t="s">
        <v>385</v>
      </c>
    </row>
  </sheetData>
  <mergeCells count="1">
    <mergeCell ref="A1:I1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4.25" outlineLevelRow="7" outlineLevelCol="4"/>
  <cols>
    <col min="1" max="1" width="35" customWidth="1"/>
    <col min="2" max="2" width="18" customWidth="1"/>
    <col min="3" max="3" width="70" customWidth="1"/>
    <col min="4" max="4" width="18" customWidth="1"/>
    <col min="5" max="5" width="10" customWidth="1"/>
  </cols>
  <sheetData>
    <row r="1" spans="1:5">
      <c r="A1" s="1" t="s">
        <v>386</v>
      </c>
      <c r="B1" s="2" t="s">
        <v>387</v>
      </c>
      <c r="C1" s="2" t="s">
        <v>388</v>
      </c>
      <c r="D1" s="2" t="s">
        <v>389</v>
      </c>
      <c r="E1" s="3" t="s">
        <v>390</v>
      </c>
    </row>
    <row r="2" spans="1:5">
      <c r="A2" s="4" t="s">
        <v>391</v>
      </c>
      <c r="B2" s="5" t="s">
        <v>392</v>
      </c>
      <c r="C2" s="5" t="s">
        <v>393</v>
      </c>
      <c r="D2" s="5" t="s">
        <v>394</v>
      </c>
      <c r="E2" s="6" t="s">
        <v>395</v>
      </c>
    </row>
    <row r="3" spans="1:5">
      <c r="A3" s="4" t="s">
        <v>396</v>
      </c>
      <c r="B3" s="5" t="s">
        <v>392</v>
      </c>
      <c r="C3" s="5" t="s">
        <v>397</v>
      </c>
      <c r="D3" s="5" t="s">
        <v>398</v>
      </c>
      <c r="E3" s="6" t="s">
        <v>395</v>
      </c>
    </row>
    <row r="4" spans="1:5">
      <c r="A4" s="4" t="s">
        <v>399</v>
      </c>
      <c r="B4" s="5" t="s">
        <v>400</v>
      </c>
      <c r="C4" s="5" t="s">
        <v>401</v>
      </c>
      <c r="D4" s="5" t="s">
        <v>402</v>
      </c>
      <c r="E4" s="6" t="s">
        <v>395</v>
      </c>
    </row>
    <row r="5" spans="1:5">
      <c r="A5" s="4" t="s">
        <v>403</v>
      </c>
      <c r="B5" s="5" t="s">
        <v>392</v>
      </c>
      <c r="C5" s="5" t="s">
        <v>404</v>
      </c>
      <c r="D5" s="5" t="s">
        <v>405</v>
      </c>
      <c r="E5" s="6" t="s">
        <v>395</v>
      </c>
    </row>
    <row r="6" spans="1:5">
      <c r="A6" s="4" t="s">
        <v>406</v>
      </c>
      <c r="B6" s="5" t="s">
        <v>392</v>
      </c>
      <c r="C6" s="5" t="s">
        <v>407</v>
      </c>
      <c r="D6" s="5" t="s">
        <v>408</v>
      </c>
      <c r="E6" s="6" t="s">
        <v>409</v>
      </c>
    </row>
    <row r="7" spans="1:5">
      <c r="A7" s="4" t="s">
        <v>410</v>
      </c>
      <c r="B7" s="5" t="s">
        <v>411</v>
      </c>
      <c r="C7" s="5" t="s">
        <v>412</v>
      </c>
      <c r="D7" s="5" t="s">
        <v>413</v>
      </c>
      <c r="E7" s="6" t="s">
        <v>414</v>
      </c>
    </row>
    <row r="8" spans="1:5">
      <c r="A8" s="7" t="s">
        <v>415</v>
      </c>
      <c r="B8" s="8" t="s">
        <v>416</v>
      </c>
      <c r="C8" s="8" t="s">
        <v>417</v>
      </c>
      <c r="D8" s="8" t="s">
        <v>418</v>
      </c>
      <c r="E8" s="9" t="s">
        <v>414</v>
      </c>
    </row>
  </sheetData>
  <dataValidations count="2">
    <dataValidation type="list" sqref="B2:B8">
      <formula1>"PASS,NO,TODO,待代码生成时复核"</formula1>
    </dataValidation>
    <dataValidation type="list" sqref="E2:E8">
      <formula1>"P0,P1,P2,P3"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History</vt:lpstr>
      <vt:lpstr>MsgSummary</vt:lpstr>
      <vt:lpstr>Matrix</vt:lpstr>
      <vt:lpstr>Convert</vt:lpstr>
      <vt:lpstr>CheckResult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2026-06-03T12:35:10Z</dcterms:created>
  <dcterms:modified xsi:type="dcterms:W3CDTF">2026-06-04T01:38:39Z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6BE0E7E15ECA412ABF0584BF00D743A9_12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